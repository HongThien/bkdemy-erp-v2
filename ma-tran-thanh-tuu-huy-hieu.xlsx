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 trận" sheetId="1" state="visible" r:id="rId1"/>
    <sheet name="Huy hiệu" sheetId="2" state="visible" r:id="rId2"/>
    <sheet name="Ghi chú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</font>
    <font>
      <name val="Arial"/>
      <b val="1"/>
      <sz val="10"/>
    </font>
    <font>
      <name val="Arial"/>
      <sz val="9"/>
    </font>
    <font>
      <name val="Arial"/>
      <b val="1"/>
      <color rgb="001F3864"/>
    </font>
    <font>
      <name val="Arial"/>
      <sz val="10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2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0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CTO</author>
  </authors>
  <commentList>
    <comment ref="A1" authorId="0" shapeId="0">
      <text>
        <t>Hàng = THÀNH TỰU (điều kiện đo được). Cột = HUY HIỆU. Ô ghi sao nào của huy hiệu dùng thành tựu đó. Một cấp sao đạt khi đạt TẤT CẢ thành tựu có nhãn sao đó trong cột.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26" customWidth="1" min="4" max="4"/>
    <col width="10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</cols>
  <sheetData>
    <row r="1" ht="30" customHeight="1">
      <c r="A1" s="1" t="inlineStr">
        <is>
          <t>Mã</t>
        </is>
      </c>
      <c r="B1" s="1" t="inlineStr">
        <is>
          <t>Thành tựu (điều kiện đo được)</t>
        </is>
      </c>
      <c r="C1" s="1" t="inlineStr">
        <is>
          <t>Kỳ xét</t>
        </is>
      </c>
      <c r="D1" s="1" t="inlineStr">
        <is>
          <t>Nguồn dữ liệu</t>
        </is>
      </c>
      <c r="E1" s="1" t="inlineStr">
        <is>
          <t>Số cấp huy hiệu dùng</t>
        </is>
      </c>
      <c r="F1" s="2" t="inlineStr">
        <is>
          <t>1 · CỐT LÕI — 6 huy hiệu (dữ liệu có sẵn, đo chắc)</t>
        </is>
      </c>
      <c r="G1" s="3" t="n"/>
      <c r="H1" s="3" t="n"/>
      <c r="I1" s="3" t="n"/>
      <c r="J1" s="3" t="n"/>
      <c r="K1" s="3" t="n"/>
      <c r="L1" s="4" t="inlineStr">
        <is>
          <t>2 · TUỲ CHỌN +2 (lên 8)</t>
        </is>
      </c>
      <c r="M1" s="3" t="n"/>
    </row>
    <row r="2" ht="32" customHeight="1">
      <c r="A2" s="3" t="n"/>
      <c r="B2" s="3" t="n"/>
      <c r="C2" s="3" t="n"/>
      <c r="D2" s="3" t="n"/>
      <c r="E2" s="3" t="n"/>
      <c r="F2" s="5" t="inlineStr">
        <is>
          <t>Không Nghỉ</t>
        </is>
      </c>
      <c r="G2" s="5" t="inlineStr">
        <is>
          <t>Đúng Hẹn</t>
        </is>
      </c>
      <c r="H2" s="5" t="inlineStr">
        <is>
          <t>Lên Tay</t>
        </is>
      </c>
      <c r="I2" s="5" t="inlineStr">
        <is>
          <t>Tốp Đầu</t>
        </is>
      </c>
      <c r="J2" s="5" t="inlineStr">
        <is>
          <t>Bứt Phá</t>
        </is>
      </c>
      <c r="K2" s="5" t="inlineStr">
        <is>
          <t>Bền Bỉ</t>
        </is>
      </c>
      <c r="L2" s="6" t="inlineStr">
        <is>
          <t>Lấp Lỗ</t>
        </is>
      </c>
      <c r="M2" s="6" t="inlineStr">
        <is>
          <t>Leo Rank</t>
        </is>
      </c>
    </row>
    <row r="3">
      <c r="A3" s="3" t="n"/>
      <c r="B3" s="3" t="n"/>
      <c r="C3" s="3" t="n"/>
      <c r="D3" s="3" t="n"/>
      <c r="E3" s="3" t="n"/>
      <c r="F3" s="7" t="inlineStr">
        <is>
          <t>KN</t>
        </is>
      </c>
      <c r="G3" s="7" t="inlineStr">
        <is>
          <t>DH</t>
        </is>
      </c>
      <c r="H3" s="7" t="inlineStr">
        <is>
          <t>LT</t>
        </is>
      </c>
      <c r="I3" s="7" t="inlineStr">
        <is>
          <t>TD</t>
        </is>
      </c>
      <c r="J3" s="7" t="inlineStr">
        <is>
          <t>BP</t>
        </is>
      </c>
      <c r="K3" s="7" t="inlineStr">
        <is>
          <t>BB</t>
        </is>
      </c>
      <c r="L3" s="8" t="inlineStr">
        <is>
          <t>LL</t>
        </is>
      </c>
      <c r="M3" s="8" t="inlineStr">
        <is>
          <t>LR</t>
        </is>
      </c>
    </row>
    <row r="4">
      <c r="A4" s="9" t="inlineStr">
        <is>
          <t>1 · CỐT LÕI — 6 huy hiệu (dữ liệu có sẵn, đo chắc) — thành tựu CHÍNH (điều kiện đơn của 1★–3★, ngưỡng cao của 4★–5★)</t>
        </is>
      </c>
    </row>
    <row r="5">
      <c r="A5" s="10" t="inlineStr">
        <is>
          <t>KN-1</t>
        </is>
      </c>
      <c r="B5" s="11" t="inlineStr">
        <is>
          <t>Chuỗi buổi có mặt liên tục ≥ 10 buổi</t>
        </is>
      </c>
      <c r="C5" s="12" t="inlineStr">
        <is>
          <t>trọn đời</t>
        </is>
      </c>
      <c r="D5" s="12" t="inlineStr">
        <is>
          <t>buoi_hoc_hs.diem_danh</t>
        </is>
      </c>
      <c r="E5" s="13">
        <f>COUNTA(F5:M5)</f>
        <v/>
      </c>
      <c r="F5" s="14" t="inlineStr">
        <is>
          <t>★1</t>
        </is>
      </c>
      <c r="G5" s="15" t="n"/>
      <c r="H5" s="15" t="n"/>
      <c r="I5" s="15" t="n"/>
      <c r="J5" s="15" t="n"/>
      <c r="K5" s="15" t="n"/>
      <c r="L5" s="15" t="n"/>
      <c r="M5" s="15" t="n"/>
    </row>
    <row r="6">
      <c r="A6" s="10" t="inlineStr">
        <is>
          <t>KN-2</t>
        </is>
      </c>
      <c r="B6" s="11" t="inlineStr">
        <is>
          <t>Chuỗi buổi có mặt liên tục ≥ 30 buổi</t>
        </is>
      </c>
      <c r="C6" s="12" t="inlineStr">
        <is>
          <t>trọn đời</t>
        </is>
      </c>
      <c r="D6" s="12" t="inlineStr">
        <is>
          <t>buoi_hoc_hs.diem_danh</t>
        </is>
      </c>
      <c r="E6" s="13">
        <f>COUNTA(F6:M6)</f>
        <v/>
      </c>
      <c r="F6" s="14" t="inlineStr">
        <is>
          <t>★2</t>
        </is>
      </c>
      <c r="G6" s="15" t="n"/>
      <c r="H6" s="15" t="n"/>
      <c r="I6" s="15" t="n"/>
      <c r="J6" s="15" t="n"/>
      <c r="K6" s="15" t="n"/>
      <c r="L6" s="15" t="n"/>
      <c r="M6" s="15" t="n"/>
    </row>
    <row r="7">
      <c r="A7" s="10" t="inlineStr">
        <is>
          <t>KN-3</t>
        </is>
      </c>
      <c r="B7" s="11" t="inlineStr">
        <is>
          <t>Chuỗi buổi có mặt liên tục ≥ 60 buổi</t>
        </is>
      </c>
      <c r="C7" s="12" t="inlineStr">
        <is>
          <t>trọn đời</t>
        </is>
      </c>
      <c r="D7" s="12" t="inlineStr">
        <is>
          <t>buoi_hoc_hs.diem_danh</t>
        </is>
      </c>
      <c r="E7" s="13">
        <f>COUNTA(F7:M7)</f>
        <v/>
      </c>
      <c r="F7" s="14" t="inlineStr">
        <is>
          <t>★3</t>
        </is>
      </c>
      <c r="G7" s="15" t="n"/>
      <c r="H7" s="15" t="n"/>
      <c r="I7" s="15" t="n"/>
      <c r="J7" s="15" t="n"/>
      <c r="K7" s="15" t="n"/>
      <c r="L7" s="15" t="n"/>
      <c r="M7" s="15" t="n"/>
    </row>
    <row r="8">
      <c r="A8" s="10" t="inlineStr">
        <is>
          <t>KN-4</t>
        </is>
      </c>
      <c r="B8" s="11" t="inlineStr">
        <is>
          <t>Chuỗi buổi có mặt liên tục ≥ 90 buổi</t>
        </is>
      </c>
      <c r="C8" s="12" t="inlineStr">
        <is>
          <t>trọn đời</t>
        </is>
      </c>
      <c r="D8" s="12" t="inlineStr">
        <is>
          <t>buoi_hoc_hs.diem_danh</t>
        </is>
      </c>
      <c r="E8" s="13">
        <f>COUNTA(F8:M8)</f>
        <v/>
      </c>
      <c r="F8" s="16" t="inlineStr">
        <is>
          <t>★4</t>
        </is>
      </c>
      <c r="G8" s="15" t="n"/>
      <c r="H8" s="15" t="n"/>
      <c r="I8" s="15" t="n"/>
      <c r="J8" s="15" t="n"/>
      <c r="K8" s="15" t="n"/>
      <c r="L8" s="15" t="n"/>
      <c r="M8" s="15" t="n"/>
    </row>
    <row r="9">
      <c r="A9" s="10" t="inlineStr">
        <is>
          <t>KN-5</t>
        </is>
      </c>
      <c r="B9" s="11" t="inlineStr">
        <is>
          <t>Chuỗi buổi có mặt liên tục ≥ 150 buổi</t>
        </is>
      </c>
      <c r="C9" s="12" t="inlineStr">
        <is>
          <t>trọn đời</t>
        </is>
      </c>
      <c r="D9" s="12" t="inlineStr">
        <is>
          <t>buoi_hoc_hs.diem_danh</t>
        </is>
      </c>
      <c r="E9" s="13">
        <f>COUNTA(F9:M9)</f>
        <v/>
      </c>
      <c r="F9" s="16" t="inlineStr">
        <is>
          <t>★5</t>
        </is>
      </c>
      <c r="G9" s="15" t="n"/>
      <c r="H9" s="15" t="n"/>
      <c r="I9" s="15" t="n"/>
      <c r="J9" s="15" t="n"/>
      <c r="K9" s="15" t="n"/>
      <c r="L9" s="15" t="n"/>
      <c r="M9" s="15" t="n"/>
    </row>
    <row r="10">
      <c r="A10" s="10" t="inlineStr">
        <is>
          <t>DH-1</t>
        </is>
      </c>
      <c r="B10" s="11" t="inlineStr">
        <is>
          <t>Chuỗi bài BTVN nộp đủ, đúng hạn ≥ 10 bài</t>
        </is>
      </c>
      <c r="C10" s="12" t="inlineStr">
        <is>
          <t>trọn đời</t>
        </is>
      </c>
      <c r="D10" s="12" t="inlineStr">
        <is>
          <t>btvn_ket_qua.trang_thai_nop</t>
        </is>
      </c>
      <c r="E10" s="13">
        <f>COUNTA(F10:M10)</f>
        <v/>
      </c>
      <c r="F10" s="15" t="n"/>
      <c r="G10" s="14" t="inlineStr">
        <is>
          <t>★1</t>
        </is>
      </c>
      <c r="H10" s="15" t="n"/>
      <c r="I10" s="15" t="n"/>
      <c r="J10" s="15" t="n"/>
      <c r="K10" s="15" t="n"/>
      <c r="L10" s="15" t="n"/>
      <c r="M10" s="15" t="n"/>
    </row>
    <row r="11">
      <c r="A11" s="10" t="inlineStr">
        <is>
          <t>DH-2</t>
        </is>
      </c>
      <c r="B11" s="11" t="inlineStr">
        <is>
          <t>Chuỗi bài BTVN nộp đủ, đúng hạn ≥ 30 bài</t>
        </is>
      </c>
      <c r="C11" s="12" t="inlineStr">
        <is>
          <t>trọn đời</t>
        </is>
      </c>
      <c r="D11" s="12" t="inlineStr">
        <is>
          <t>btvn_ket_qua.trang_thai_nop</t>
        </is>
      </c>
      <c r="E11" s="13">
        <f>COUNTA(F11:M11)</f>
        <v/>
      </c>
      <c r="F11" s="15" t="n"/>
      <c r="G11" s="14" t="inlineStr">
        <is>
          <t>★2</t>
        </is>
      </c>
      <c r="H11" s="15" t="n"/>
      <c r="I11" s="15" t="n"/>
      <c r="J11" s="15" t="n"/>
      <c r="K11" s="15" t="n"/>
      <c r="L11" s="15" t="n"/>
      <c r="M11" s="15" t="n"/>
    </row>
    <row r="12">
      <c r="A12" s="10" t="inlineStr">
        <is>
          <t>DH-3</t>
        </is>
      </c>
      <c r="B12" s="11" t="inlineStr">
        <is>
          <t>Chuỗi bài BTVN nộp đủ, đúng hạn ≥ 60 bài</t>
        </is>
      </c>
      <c r="C12" s="12" t="inlineStr">
        <is>
          <t>trọn đời</t>
        </is>
      </c>
      <c r="D12" s="12" t="inlineStr">
        <is>
          <t>btvn_ket_qua.trang_thai_nop</t>
        </is>
      </c>
      <c r="E12" s="13">
        <f>COUNTA(F12:M12)</f>
        <v/>
      </c>
      <c r="F12" s="15" t="n"/>
      <c r="G12" s="14" t="inlineStr">
        <is>
          <t>★3</t>
        </is>
      </c>
      <c r="H12" s="15" t="n"/>
      <c r="I12" s="15" t="n"/>
      <c r="J12" s="15" t="n"/>
      <c r="K12" s="15" t="n"/>
      <c r="L12" s="15" t="n"/>
      <c r="M12" s="15" t="n"/>
    </row>
    <row r="13">
      <c r="A13" s="10" t="inlineStr">
        <is>
          <t>DH-4</t>
        </is>
      </c>
      <c r="B13" s="11" t="inlineStr">
        <is>
          <t>Chuỗi bài BTVN nộp đủ, đúng hạn ≥ 90 bài</t>
        </is>
      </c>
      <c r="C13" s="12" t="inlineStr">
        <is>
          <t>trọn đời</t>
        </is>
      </c>
      <c r="D13" s="12" t="inlineStr">
        <is>
          <t>btvn_ket_qua.trang_thai_nop</t>
        </is>
      </c>
      <c r="E13" s="13">
        <f>COUNTA(F13:M13)</f>
        <v/>
      </c>
      <c r="F13" s="15" t="n"/>
      <c r="G13" s="16" t="inlineStr">
        <is>
          <t>★4</t>
        </is>
      </c>
      <c r="H13" s="15" t="n"/>
      <c r="I13" s="15" t="n"/>
      <c r="J13" s="15" t="n"/>
      <c r="K13" s="15" t="n"/>
      <c r="L13" s="15" t="n"/>
      <c r="M13" s="15" t="n"/>
    </row>
    <row r="14">
      <c r="A14" s="10" t="inlineStr">
        <is>
          <t>DH-5</t>
        </is>
      </c>
      <c r="B14" s="11" t="inlineStr">
        <is>
          <t>Chuỗi bài BTVN nộp đủ, đúng hạn ≥ 150 bài</t>
        </is>
      </c>
      <c r="C14" s="12" t="inlineStr">
        <is>
          <t>trọn đời</t>
        </is>
      </c>
      <c r="D14" s="12" t="inlineStr">
        <is>
          <t>btvn_ket_qua.trang_thai_nop</t>
        </is>
      </c>
      <c r="E14" s="13">
        <f>COUNTA(F14:M14)</f>
        <v/>
      </c>
      <c r="F14" s="15" t="n"/>
      <c r="G14" s="16" t="inlineStr">
        <is>
          <t>★5</t>
        </is>
      </c>
      <c r="H14" s="15" t="n"/>
      <c r="I14" s="15" t="n"/>
      <c r="J14" s="15" t="n"/>
      <c r="K14" s="15" t="n"/>
      <c r="L14" s="15" t="n"/>
      <c r="M14" s="15" t="n"/>
    </row>
    <row r="15">
      <c r="A15" s="10" t="inlineStr">
        <is>
          <t>LT-1</t>
        </is>
      </c>
      <c r="B15" s="11" t="inlineStr">
        <is>
          <t>Số bài ET đúng ≥ 80% ≥ 3 bài</t>
        </is>
      </c>
      <c r="C15" s="12" t="inlineStr">
        <is>
          <t>trọn đời</t>
        </is>
      </c>
      <c r="D15" s="12" t="inlineStr">
        <is>
          <t>gami_grades (phase et)</t>
        </is>
      </c>
      <c r="E15" s="13">
        <f>COUNTA(F15:M15)</f>
        <v/>
      </c>
      <c r="F15" s="15" t="n"/>
      <c r="G15" s="15" t="n"/>
      <c r="H15" s="14" t="inlineStr">
        <is>
          <t>★1</t>
        </is>
      </c>
      <c r="I15" s="15" t="n"/>
      <c r="J15" s="15" t="n"/>
      <c r="K15" s="15" t="n"/>
      <c r="L15" s="15" t="n"/>
      <c r="M15" s="15" t="n"/>
    </row>
    <row r="16">
      <c r="A16" s="10" t="inlineStr">
        <is>
          <t>LT-2</t>
        </is>
      </c>
      <c r="B16" s="11" t="inlineStr">
        <is>
          <t>Số bài ET đúng ≥ 80% ≥ 15 bài</t>
        </is>
      </c>
      <c r="C16" s="12" t="inlineStr">
        <is>
          <t>trọn đời</t>
        </is>
      </c>
      <c r="D16" s="12" t="inlineStr">
        <is>
          <t>gami_grades (phase et)</t>
        </is>
      </c>
      <c r="E16" s="13">
        <f>COUNTA(F16:M16)</f>
        <v/>
      </c>
      <c r="F16" s="15" t="n"/>
      <c r="G16" s="15" t="n"/>
      <c r="H16" s="14" t="inlineStr">
        <is>
          <t>★2</t>
        </is>
      </c>
      <c r="I16" s="15" t="n"/>
      <c r="J16" s="15" t="n"/>
      <c r="K16" s="15" t="n"/>
      <c r="L16" s="15" t="n"/>
      <c r="M16" s="15" t="n"/>
    </row>
    <row r="17">
      <c r="A17" s="10" t="inlineStr">
        <is>
          <t>LT-3</t>
        </is>
      </c>
      <c r="B17" s="11" t="inlineStr">
        <is>
          <t>Số bài ET đúng ≥ 80% ≥ 40 bài</t>
        </is>
      </c>
      <c r="C17" s="12" t="inlineStr">
        <is>
          <t>trọn đời</t>
        </is>
      </c>
      <c r="D17" s="12" t="inlineStr">
        <is>
          <t>gami_grades (phase et)</t>
        </is>
      </c>
      <c r="E17" s="13">
        <f>COUNTA(F17:M17)</f>
        <v/>
      </c>
      <c r="F17" s="15" t="n"/>
      <c r="G17" s="15" t="n"/>
      <c r="H17" s="14" t="inlineStr">
        <is>
          <t>★3</t>
        </is>
      </c>
      <c r="I17" s="15" t="n"/>
      <c r="J17" s="15" t="n"/>
      <c r="K17" s="15" t="n"/>
      <c r="L17" s="15" t="n"/>
      <c r="M17" s="15" t="n"/>
    </row>
    <row r="18">
      <c r="A18" s="10" t="inlineStr">
        <is>
          <t>LT-4</t>
        </is>
      </c>
      <c r="B18" s="11" t="inlineStr">
        <is>
          <t>Số bài ET đúng ≥ 80% ≥ 60 bài</t>
        </is>
      </c>
      <c r="C18" s="12" t="inlineStr">
        <is>
          <t>trọn đời</t>
        </is>
      </c>
      <c r="D18" s="12" t="inlineStr">
        <is>
          <t>gami_grades (phase et)</t>
        </is>
      </c>
      <c r="E18" s="13">
        <f>COUNTA(F18:M18)</f>
        <v/>
      </c>
      <c r="F18" s="15" t="n"/>
      <c r="G18" s="15" t="n"/>
      <c r="H18" s="16" t="inlineStr">
        <is>
          <t>★4</t>
        </is>
      </c>
      <c r="I18" s="15" t="n"/>
      <c r="J18" s="15" t="n"/>
      <c r="K18" s="15" t="n"/>
      <c r="L18" s="15" t="n"/>
      <c r="M18" s="15" t="n"/>
    </row>
    <row r="19">
      <c r="A19" s="10" t="inlineStr">
        <is>
          <t>LT-5</t>
        </is>
      </c>
      <c r="B19" s="11" t="inlineStr">
        <is>
          <t>Số bài ET đúng ≥ 80% ≥ 90 bài</t>
        </is>
      </c>
      <c r="C19" s="12" t="inlineStr">
        <is>
          <t>trọn đời</t>
        </is>
      </c>
      <c r="D19" s="12" t="inlineStr">
        <is>
          <t>gami_grades (phase et)</t>
        </is>
      </c>
      <c r="E19" s="13">
        <f>COUNTA(F19:M19)</f>
        <v/>
      </c>
      <c r="F19" s="15" t="n"/>
      <c r="G19" s="15" t="n"/>
      <c r="H19" s="16" t="inlineStr">
        <is>
          <t>★5</t>
        </is>
      </c>
      <c r="I19" s="15" t="n"/>
      <c r="J19" s="15" t="n"/>
      <c r="K19" s="15" t="n"/>
      <c r="L19" s="15" t="n"/>
      <c r="M19" s="15" t="n"/>
    </row>
    <row r="20">
      <c r="A20" s="10" t="inlineStr">
        <is>
          <t>TD-1</t>
        </is>
      </c>
      <c r="B20" s="11" t="inlineStr">
        <is>
          <t>Số lần MT top 30% khối ≥ 1 lần</t>
        </is>
      </c>
      <c r="C20" s="12" t="inlineStr">
        <is>
          <t>trọn đời</t>
        </is>
      </c>
      <c r="D20" s="12" t="inlineStr">
        <is>
          <t>fn_bxh_diem_mt_khoi</t>
        </is>
      </c>
      <c r="E20" s="13">
        <f>COUNTA(F20:M20)</f>
        <v/>
      </c>
      <c r="F20" s="15" t="n"/>
      <c r="G20" s="15" t="n"/>
      <c r="H20" s="15" t="n"/>
      <c r="I20" s="14" t="inlineStr">
        <is>
          <t>★1</t>
        </is>
      </c>
      <c r="J20" s="15" t="n"/>
      <c r="K20" s="15" t="n"/>
      <c r="L20" s="15" t="n"/>
      <c r="M20" s="15" t="n"/>
    </row>
    <row r="21">
      <c r="A21" s="10" t="inlineStr">
        <is>
          <t>TD-2</t>
        </is>
      </c>
      <c r="B21" s="11" t="inlineStr">
        <is>
          <t>Số lần MT top 30% khối ≥ 3 lần</t>
        </is>
      </c>
      <c r="C21" s="12" t="inlineStr">
        <is>
          <t>trọn đời</t>
        </is>
      </c>
      <c r="D21" s="12" t="inlineStr">
        <is>
          <t>fn_bxh_diem_mt_khoi</t>
        </is>
      </c>
      <c r="E21" s="13">
        <f>COUNTA(F21:M21)</f>
        <v/>
      </c>
      <c r="F21" s="15" t="n"/>
      <c r="G21" s="15" t="n"/>
      <c r="H21" s="15" t="n"/>
      <c r="I21" s="14" t="inlineStr">
        <is>
          <t>★2</t>
        </is>
      </c>
      <c r="J21" s="15" t="n"/>
      <c r="K21" s="15" t="n"/>
      <c r="L21" s="15" t="n"/>
      <c r="M21" s="15" t="n"/>
    </row>
    <row r="22">
      <c r="A22" s="10" t="inlineStr">
        <is>
          <t>TD-3</t>
        </is>
      </c>
      <c r="B22" s="11" t="inlineStr">
        <is>
          <t>Số lần MT top 30% khối ≥ 6 lần</t>
        </is>
      </c>
      <c r="C22" s="12" t="inlineStr">
        <is>
          <t>trọn đời</t>
        </is>
      </c>
      <c r="D22" s="12" t="inlineStr">
        <is>
          <t>fn_bxh_diem_mt_khoi</t>
        </is>
      </c>
      <c r="E22" s="13">
        <f>COUNTA(F22:M22)</f>
        <v/>
      </c>
      <c r="F22" s="15" t="n"/>
      <c r="G22" s="15" t="n"/>
      <c r="H22" s="15" t="n"/>
      <c r="I22" s="14" t="inlineStr">
        <is>
          <t>★3</t>
        </is>
      </c>
      <c r="J22" s="15" t="n"/>
      <c r="K22" s="15" t="n"/>
      <c r="L22" s="15" t="n"/>
      <c r="M22" s="15" t="n"/>
    </row>
    <row r="23">
      <c r="A23" s="10" t="inlineStr">
        <is>
          <t>TD-4</t>
        </is>
      </c>
      <c r="B23" s="11" t="inlineStr">
        <is>
          <t>Số lần MT top 30% khối ≥ 8 lần</t>
        </is>
      </c>
      <c r="C23" s="12" t="inlineStr">
        <is>
          <t>trọn đời</t>
        </is>
      </c>
      <c r="D23" s="12" t="inlineStr">
        <is>
          <t>fn_bxh_diem_mt_khoi</t>
        </is>
      </c>
      <c r="E23" s="13">
        <f>COUNTA(F23:M23)</f>
        <v/>
      </c>
      <c r="F23" s="15" t="n"/>
      <c r="G23" s="15" t="n"/>
      <c r="H23" s="15" t="n"/>
      <c r="I23" s="16" t="inlineStr">
        <is>
          <t>★4</t>
        </is>
      </c>
      <c r="J23" s="15" t="n"/>
      <c r="K23" s="15" t="n"/>
      <c r="L23" s="15" t="n"/>
      <c r="M23" s="15" t="n"/>
    </row>
    <row r="24">
      <c r="A24" s="10" t="inlineStr">
        <is>
          <t>TD-5</t>
        </is>
      </c>
      <c r="B24" s="11" t="inlineStr">
        <is>
          <t>Số lần MT top 30% khối ≥ 10 lần</t>
        </is>
      </c>
      <c r="C24" s="12" t="inlineStr">
        <is>
          <t>trọn đời</t>
        </is>
      </c>
      <c r="D24" s="12" t="inlineStr">
        <is>
          <t>fn_bxh_diem_mt_khoi</t>
        </is>
      </c>
      <c r="E24" s="13">
        <f>COUNTA(F24:M24)</f>
        <v/>
      </c>
      <c r="F24" s="15" t="n"/>
      <c r="G24" s="15" t="n"/>
      <c r="H24" s="15" t="n"/>
      <c r="I24" s="16" t="inlineStr">
        <is>
          <t>★5</t>
        </is>
      </c>
      <c r="J24" s="15" t="n"/>
      <c r="K24" s="15" t="n"/>
      <c r="L24" s="15" t="n"/>
      <c r="M24" s="15" t="n"/>
    </row>
    <row r="25">
      <c r="A25" s="10" t="inlineStr">
        <is>
          <t>BP-1</t>
        </is>
      </c>
      <c r="B25" s="11" t="inlineStr">
        <is>
          <t>Số lần hạng MT tăng (hoặc giữ top 10%) ≥ 1 lần</t>
        </is>
      </c>
      <c r="C25" s="12" t="inlineStr">
        <is>
          <t>trọn đời</t>
        </is>
      </c>
      <c r="D25" s="12" t="inlineStr">
        <is>
          <t>fn_bxh_diem_mt_khoi</t>
        </is>
      </c>
      <c r="E25" s="13">
        <f>COUNTA(F25:M25)</f>
        <v/>
      </c>
      <c r="F25" s="15" t="n"/>
      <c r="G25" s="15" t="n"/>
      <c r="H25" s="15" t="n"/>
      <c r="I25" s="15" t="n"/>
      <c r="J25" s="14" t="inlineStr">
        <is>
          <t>★1</t>
        </is>
      </c>
      <c r="K25" s="15" t="n"/>
      <c r="L25" s="15" t="n"/>
      <c r="M25" s="15" t="n"/>
    </row>
    <row r="26">
      <c r="A26" s="10" t="inlineStr">
        <is>
          <t>BP-2</t>
        </is>
      </c>
      <c r="B26" s="11" t="inlineStr">
        <is>
          <t>Số lần hạng MT tăng (hoặc giữ top 10%) ≥ 3 lần</t>
        </is>
      </c>
      <c r="C26" s="12" t="inlineStr">
        <is>
          <t>trọn đời</t>
        </is>
      </c>
      <c r="D26" s="12" t="inlineStr">
        <is>
          <t>fn_bxh_diem_mt_khoi</t>
        </is>
      </c>
      <c r="E26" s="13">
        <f>COUNTA(F26:M26)</f>
        <v/>
      </c>
      <c r="F26" s="15" t="n"/>
      <c r="G26" s="15" t="n"/>
      <c r="H26" s="15" t="n"/>
      <c r="I26" s="15" t="n"/>
      <c r="J26" s="14" t="inlineStr">
        <is>
          <t>★2</t>
        </is>
      </c>
      <c r="K26" s="15" t="n"/>
      <c r="L26" s="15" t="n"/>
      <c r="M26" s="15" t="n"/>
    </row>
    <row r="27">
      <c r="A27" s="10" t="inlineStr">
        <is>
          <t>BP-3</t>
        </is>
      </c>
      <c r="B27" s="11" t="inlineStr">
        <is>
          <t>Số lần hạng MT tăng (hoặc giữ top 10%) ≥ 6 lần</t>
        </is>
      </c>
      <c r="C27" s="12" t="inlineStr">
        <is>
          <t>trọn đời</t>
        </is>
      </c>
      <c r="D27" s="12" t="inlineStr">
        <is>
          <t>fn_bxh_diem_mt_khoi</t>
        </is>
      </c>
      <c r="E27" s="13">
        <f>COUNTA(F27:M27)</f>
        <v/>
      </c>
      <c r="F27" s="15" t="n"/>
      <c r="G27" s="15" t="n"/>
      <c r="H27" s="15" t="n"/>
      <c r="I27" s="15" t="n"/>
      <c r="J27" s="14" t="inlineStr">
        <is>
          <t>★3</t>
        </is>
      </c>
      <c r="K27" s="15" t="n"/>
      <c r="L27" s="15" t="n"/>
      <c r="M27" s="15" t="n"/>
    </row>
    <row r="28">
      <c r="A28" s="10" t="inlineStr">
        <is>
          <t>BP-4</t>
        </is>
      </c>
      <c r="B28" s="11" t="inlineStr">
        <is>
          <t>Số lần hạng MT tăng (hoặc giữ top 10%) ≥ 8 lần</t>
        </is>
      </c>
      <c r="C28" s="12" t="inlineStr">
        <is>
          <t>trọn đời</t>
        </is>
      </c>
      <c r="D28" s="12" t="inlineStr">
        <is>
          <t>fn_bxh_diem_mt_khoi</t>
        </is>
      </c>
      <c r="E28" s="13">
        <f>COUNTA(F28:M28)</f>
        <v/>
      </c>
      <c r="F28" s="15" t="n"/>
      <c r="G28" s="15" t="n"/>
      <c r="H28" s="15" t="n"/>
      <c r="I28" s="15" t="n"/>
      <c r="J28" s="16" t="inlineStr">
        <is>
          <t>★4</t>
        </is>
      </c>
      <c r="K28" s="15" t="n"/>
      <c r="L28" s="15" t="n"/>
      <c r="M28" s="15" t="n"/>
    </row>
    <row r="29">
      <c r="A29" s="10" t="inlineStr">
        <is>
          <t>BP-5</t>
        </is>
      </c>
      <c r="B29" s="11" t="inlineStr">
        <is>
          <t>Số lần hạng MT tăng (hoặc giữ top 10%) ≥ 10 lần</t>
        </is>
      </c>
      <c r="C29" s="12" t="inlineStr">
        <is>
          <t>trọn đời</t>
        </is>
      </c>
      <c r="D29" s="12" t="inlineStr">
        <is>
          <t>fn_bxh_diem_mt_khoi</t>
        </is>
      </c>
      <c r="E29" s="13">
        <f>COUNTA(F29:M29)</f>
        <v/>
      </c>
      <c r="F29" s="15" t="n"/>
      <c r="G29" s="15" t="n"/>
      <c r="H29" s="15" t="n"/>
      <c r="I29" s="15" t="n"/>
      <c r="J29" s="16" t="inlineStr">
        <is>
          <t>★5</t>
        </is>
      </c>
      <c r="K29" s="15" t="n"/>
      <c r="L29" s="15" t="n"/>
      <c r="M29" s="15" t="n"/>
    </row>
    <row r="30">
      <c r="A30" s="10" t="inlineStr">
        <is>
          <t>BB-1</t>
        </is>
      </c>
      <c r="B30" s="11" t="inlineStr">
        <is>
          <t>Tổng số ngày pass Thử thách ≥ 10 ngày</t>
        </is>
      </c>
      <c r="C30" s="12" t="inlineStr">
        <is>
          <t>trọn đời</t>
        </is>
      </c>
      <c r="D30" s="12" t="inlineStr">
        <is>
          <t>lượt Thử thách</t>
        </is>
      </c>
      <c r="E30" s="13">
        <f>COUNTA(F30:M30)</f>
        <v/>
      </c>
      <c r="F30" s="15" t="n"/>
      <c r="G30" s="15" t="n"/>
      <c r="H30" s="15" t="n"/>
      <c r="I30" s="15" t="n"/>
      <c r="J30" s="15" t="n"/>
      <c r="K30" s="14" t="inlineStr">
        <is>
          <t>★1</t>
        </is>
      </c>
      <c r="L30" s="15" t="n"/>
      <c r="M30" s="15" t="n"/>
    </row>
    <row r="31">
      <c r="A31" s="10" t="inlineStr">
        <is>
          <t>BB-2</t>
        </is>
      </c>
      <c r="B31" s="11" t="inlineStr">
        <is>
          <t>Tổng số ngày pass Thử thách ≥ 40 ngày</t>
        </is>
      </c>
      <c r="C31" s="12" t="inlineStr">
        <is>
          <t>trọn đời</t>
        </is>
      </c>
      <c r="D31" s="12" t="inlineStr">
        <is>
          <t>lượt Thử thách</t>
        </is>
      </c>
      <c r="E31" s="13">
        <f>COUNTA(F31:M31)</f>
        <v/>
      </c>
      <c r="F31" s="15" t="n"/>
      <c r="G31" s="15" t="n"/>
      <c r="H31" s="15" t="n"/>
      <c r="I31" s="15" t="n"/>
      <c r="J31" s="15" t="n"/>
      <c r="K31" s="14" t="inlineStr">
        <is>
          <t>★2</t>
        </is>
      </c>
      <c r="L31" s="15" t="n"/>
      <c r="M31" s="15" t="n"/>
    </row>
    <row r="32">
      <c r="A32" s="10" t="inlineStr">
        <is>
          <t>BB-3</t>
        </is>
      </c>
      <c r="B32" s="11" t="inlineStr">
        <is>
          <t>Tổng số ngày pass Thử thách ≥ 100 ngày</t>
        </is>
      </c>
      <c r="C32" s="12" t="inlineStr">
        <is>
          <t>trọn đời</t>
        </is>
      </c>
      <c r="D32" s="12" t="inlineStr">
        <is>
          <t>lượt Thử thách</t>
        </is>
      </c>
      <c r="E32" s="13">
        <f>COUNTA(F32:M32)</f>
        <v/>
      </c>
      <c r="F32" s="15" t="n"/>
      <c r="G32" s="15" t="n"/>
      <c r="H32" s="15" t="n"/>
      <c r="I32" s="15" t="n"/>
      <c r="J32" s="15" t="n"/>
      <c r="K32" s="14" t="inlineStr">
        <is>
          <t>★3</t>
        </is>
      </c>
      <c r="L32" s="15" t="n"/>
      <c r="M32" s="15" t="n"/>
    </row>
    <row r="33">
      <c r="A33" s="10" t="inlineStr">
        <is>
          <t>BB-4</t>
        </is>
      </c>
      <c r="B33" s="11" t="inlineStr">
        <is>
          <t>Tổng số ngày pass Thử thách ≥ 150 ngày</t>
        </is>
      </c>
      <c r="C33" s="12" t="inlineStr">
        <is>
          <t>trọn đời</t>
        </is>
      </c>
      <c r="D33" s="12" t="inlineStr">
        <is>
          <t>lượt Thử thách</t>
        </is>
      </c>
      <c r="E33" s="13">
        <f>COUNTA(F33:M33)</f>
        <v/>
      </c>
      <c r="F33" s="15" t="n"/>
      <c r="G33" s="15" t="n"/>
      <c r="H33" s="15" t="n"/>
      <c r="I33" s="15" t="n"/>
      <c r="J33" s="15" t="n"/>
      <c r="K33" s="16" t="inlineStr">
        <is>
          <t>★4</t>
        </is>
      </c>
      <c r="L33" s="15" t="n"/>
      <c r="M33" s="15" t="n"/>
    </row>
    <row r="34">
      <c r="A34" s="10" t="inlineStr">
        <is>
          <t>BB-5</t>
        </is>
      </c>
      <c r="B34" s="11" t="inlineStr">
        <is>
          <t>Tổng số ngày pass Thử thách ≥ 250 ngày</t>
        </is>
      </c>
      <c r="C34" s="12" t="inlineStr">
        <is>
          <t>trọn đời</t>
        </is>
      </c>
      <c r="D34" s="12" t="inlineStr">
        <is>
          <t>lượt Thử thách</t>
        </is>
      </c>
      <c r="E34" s="13">
        <f>COUNTA(F34:M34)</f>
        <v/>
      </c>
      <c r="F34" s="15" t="n"/>
      <c r="G34" s="15" t="n"/>
      <c r="H34" s="15" t="n"/>
      <c r="I34" s="15" t="n"/>
      <c r="J34" s="15" t="n"/>
      <c r="K34" s="16" t="inlineStr">
        <is>
          <t>★5</t>
        </is>
      </c>
      <c r="L34" s="15" t="n"/>
      <c r="M34" s="15" t="n"/>
    </row>
    <row r="35">
      <c r="A35" s="17" t="inlineStr">
        <is>
          <t>2 · TUỲ CHỌN +2 (lên 8) — thành tựu CHÍNH (điều kiện đơn của 1★–3★, ngưỡng cao của 4★–5★)</t>
        </is>
      </c>
    </row>
    <row r="36">
      <c r="A36" s="10" t="inlineStr">
        <is>
          <t>LL-1</t>
        </is>
      </c>
      <c r="B36" s="11" t="inlineStr">
        <is>
          <t>Số dạng từ yếu → đạt ≥ 1 dạng</t>
        </is>
      </c>
      <c r="C36" s="12" t="inlineStr">
        <is>
          <t>trọn đời</t>
        </is>
      </c>
      <c r="D36" s="12" t="inlineStr">
        <is>
          <t>fn_mastery_cells</t>
        </is>
      </c>
      <c r="E36" s="13">
        <f>COUNTA(F36:M36)</f>
        <v/>
      </c>
      <c r="F36" s="15" t="n"/>
      <c r="G36" s="15" t="n"/>
      <c r="H36" s="15" t="n"/>
      <c r="I36" s="15" t="n"/>
      <c r="J36" s="15" t="n"/>
      <c r="K36" s="15" t="n"/>
      <c r="L36" s="14" t="inlineStr">
        <is>
          <t>★1</t>
        </is>
      </c>
      <c r="M36" s="15" t="n"/>
    </row>
    <row r="37">
      <c r="A37" s="10" t="inlineStr">
        <is>
          <t>LL-2</t>
        </is>
      </c>
      <c r="B37" s="11" t="inlineStr">
        <is>
          <t>Số dạng từ yếu → đạt ≥ 5 dạng</t>
        </is>
      </c>
      <c r="C37" s="12" t="inlineStr">
        <is>
          <t>trọn đời</t>
        </is>
      </c>
      <c r="D37" s="12" t="inlineStr">
        <is>
          <t>fn_mastery_cells</t>
        </is>
      </c>
      <c r="E37" s="13">
        <f>COUNTA(F37:M37)</f>
        <v/>
      </c>
      <c r="F37" s="15" t="n"/>
      <c r="G37" s="15" t="n"/>
      <c r="H37" s="15" t="n"/>
      <c r="I37" s="15" t="n"/>
      <c r="J37" s="15" t="n"/>
      <c r="K37" s="15" t="n"/>
      <c r="L37" s="14" t="inlineStr">
        <is>
          <t>★2</t>
        </is>
      </c>
      <c r="M37" s="15" t="n"/>
    </row>
    <row r="38">
      <c r="A38" s="10" t="inlineStr">
        <is>
          <t>LL-3</t>
        </is>
      </c>
      <c r="B38" s="11" t="inlineStr">
        <is>
          <t>Số dạng từ yếu → đạt ≥ 15 dạng</t>
        </is>
      </c>
      <c r="C38" s="12" t="inlineStr">
        <is>
          <t>trọn đời</t>
        </is>
      </c>
      <c r="D38" s="12" t="inlineStr">
        <is>
          <t>fn_mastery_cells</t>
        </is>
      </c>
      <c r="E38" s="13">
        <f>COUNTA(F38:M38)</f>
        <v/>
      </c>
      <c r="F38" s="15" t="n"/>
      <c r="G38" s="15" t="n"/>
      <c r="H38" s="15" t="n"/>
      <c r="I38" s="15" t="n"/>
      <c r="J38" s="15" t="n"/>
      <c r="K38" s="15" t="n"/>
      <c r="L38" s="14" t="inlineStr">
        <is>
          <t>★3</t>
        </is>
      </c>
      <c r="M38" s="15" t="n"/>
    </row>
    <row r="39">
      <c r="A39" s="10" t="inlineStr">
        <is>
          <t>LL-4</t>
        </is>
      </c>
      <c r="B39" s="11" t="inlineStr">
        <is>
          <t>Số dạng từ yếu → đạt ≥ 25 dạng</t>
        </is>
      </c>
      <c r="C39" s="12" t="inlineStr">
        <is>
          <t>trọn đời</t>
        </is>
      </c>
      <c r="D39" s="12" t="inlineStr">
        <is>
          <t>fn_mastery_cells</t>
        </is>
      </c>
      <c r="E39" s="13">
        <f>COUNTA(F39:M39)</f>
        <v/>
      </c>
      <c r="F39" s="15" t="n"/>
      <c r="G39" s="15" t="n"/>
      <c r="H39" s="15" t="n"/>
      <c r="I39" s="15" t="n"/>
      <c r="J39" s="15" t="n"/>
      <c r="K39" s="15" t="n"/>
      <c r="L39" s="16" t="inlineStr">
        <is>
          <t>★4</t>
        </is>
      </c>
      <c r="M39" s="15" t="n"/>
    </row>
    <row r="40">
      <c r="A40" s="10" t="inlineStr">
        <is>
          <t>LL-5</t>
        </is>
      </c>
      <c r="B40" s="11" t="inlineStr">
        <is>
          <t>Số dạng từ yếu → đạt ≥ 40 dạng</t>
        </is>
      </c>
      <c r="C40" s="12" t="inlineStr">
        <is>
          <t>trọn đời</t>
        </is>
      </c>
      <c r="D40" s="12" t="inlineStr">
        <is>
          <t>fn_mastery_cells</t>
        </is>
      </c>
      <c r="E40" s="13">
        <f>COUNTA(F40:M40)</f>
        <v/>
      </c>
      <c r="F40" s="15" t="n"/>
      <c r="G40" s="15" t="n"/>
      <c r="H40" s="15" t="n"/>
      <c r="I40" s="15" t="n"/>
      <c r="J40" s="15" t="n"/>
      <c r="K40" s="15" t="n"/>
      <c r="L40" s="16" t="inlineStr">
        <is>
          <t>★5</t>
        </is>
      </c>
      <c r="M40" s="15" t="n"/>
    </row>
    <row r="41">
      <c r="A41" s="10" t="inlineStr">
        <is>
          <t>LR-1</t>
        </is>
      </c>
      <c r="B41" s="11" t="inlineStr">
        <is>
          <t>Bậc rank cao nhất trong năm ≥ Captain</t>
        </is>
      </c>
      <c r="C41" s="12" t="inlineStr">
        <is>
          <t>trong mùa (1 năm)</t>
        </is>
      </c>
      <c r="D41" s="12" t="inlineStr">
        <is>
          <t>Điểm Rank</t>
        </is>
      </c>
      <c r="E41" s="13">
        <f>COUNTA(F41:M41)</f>
        <v/>
      </c>
      <c r="F41" s="15" t="n"/>
      <c r="G41" s="15" t="n"/>
      <c r="H41" s="15" t="n"/>
      <c r="I41" s="15" t="n"/>
      <c r="J41" s="15" t="n"/>
      <c r="K41" s="15" t="n"/>
      <c r="L41" s="15" t="n"/>
      <c r="M41" s="14" t="inlineStr">
        <is>
          <t>★1</t>
        </is>
      </c>
    </row>
    <row r="42">
      <c r="A42" s="10" t="inlineStr">
        <is>
          <t>LR-2</t>
        </is>
      </c>
      <c r="B42" s="11" t="inlineStr">
        <is>
          <t>Bậc rank cao nhất trong năm ≥ Hero</t>
        </is>
      </c>
      <c r="C42" s="12" t="inlineStr">
        <is>
          <t>trong mùa (1 năm)</t>
        </is>
      </c>
      <c r="D42" s="12" t="inlineStr">
        <is>
          <t>Điểm Rank</t>
        </is>
      </c>
      <c r="E42" s="13">
        <f>COUNTA(F42:M42)</f>
        <v/>
      </c>
      <c r="F42" s="15" t="n"/>
      <c r="G42" s="15" t="n"/>
      <c r="H42" s="15" t="n"/>
      <c r="I42" s="15" t="n"/>
      <c r="J42" s="15" t="n"/>
      <c r="K42" s="15" t="n"/>
      <c r="L42" s="15" t="n"/>
      <c r="M42" s="14" t="inlineStr">
        <is>
          <t>★2</t>
        </is>
      </c>
    </row>
    <row r="43">
      <c r="A43" s="10" t="inlineStr">
        <is>
          <t>LR-3</t>
        </is>
      </c>
      <c r="B43" s="11" t="inlineStr">
        <is>
          <t>Bậc rank cao nhất trong năm ≥ King</t>
        </is>
      </c>
      <c r="C43" s="12" t="inlineStr">
        <is>
          <t>trong mùa (1 năm)</t>
        </is>
      </c>
      <c r="D43" s="12" t="inlineStr">
        <is>
          <t>Điểm Rank</t>
        </is>
      </c>
      <c r="E43" s="13">
        <f>COUNTA(F43:M43)</f>
        <v/>
      </c>
      <c r="F43" s="15" t="n"/>
      <c r="G43" s="15" t="n"/>
      <c r="H43" s="15" t="n"/>
      <c r="I43" s="15" t="n"/>
      <c r="J43" s="15" t="n"/>
      <c r="K43" s="15" t="n"/>
      <c r="L43" s="15" t="n"/>
      <c r="M43" s="14" t="inlineStr">
        <is>
          <t>★3</t>
        </is>
      </c>
    </row>
    <row r="44">
      <c r="A44" s="10" t="inlineStr">
        <is>
          <t>LR-4</t>
        </is>
      </c>
      <c r="B44" s="11" t="inlineStr">
        <is>
          <t>Bậc rank cao nhất trong năm ≥ Emperor</t>
        </is>
      </c>
      <c r="C44" s="12" t="inlineStr">
        <is>
          <t>trong mùa (1 năm)</t>
        </is>
      </c>
      <c r="D44" s="12" t="inlineStr">
        <is>
          <t>Điểm Rank</t>
        </is>
      </c>
      <c r="E44" s="13">
        <f>COUNTA(F44:M44)</f>
        <v/>
      </c>
      <c r="F44" s="15" t="n"/>
      <c r="G44" s="15" t="n"/>
      <c r="H44" s="15" t="n"/>
      <c r="I44" s="15" t="n"/>
      <c r="J44" s="15" t="n"/>
      <c r="K44" s="15" t="n"/>
      <c r="L44" s="15" t="n"/>
      <c r="M44" s="16" t="inlineStr">
        <is>
          <t>★4</t>
        </is>
      </c>
    </row>
    <row r="45">
      <c r="A45" s="10" t="inlineStr">
        <is>
          <t>LR-5</t>
        </is>
      </c>
      <c r="B45" s="11" t="inlineStr">
        <is>
          <t>Bậc rank cao nhất trong năm ≥ God of War</t>
        </is>
      </c>
      <c r="C45" s="12" t="inlineStr">
        <is>
          <t>trong mùa (1 năm)</t>
        </is>
      </c>
      <c r="D45" s="12" t="inlineStr">
        <is>
          <t>Điểm Rank</t>
        </is>
      </c>
      <c r="E45" s="13">
        <f>COUNTA(F45:M45)</f>
        <v/>
      </c>
      <c r="F45" s="15" t="n"/>
      <c r="G45" s="15" t="n"/>
      <c r="H45" s="15" t="n"/>
      <c r="I45" s="15" t="n"/>
      <c r="J45" s="15" t="n"/>
      <c r="K45" s="15" t="n"/>
      <c r="L45" s="15" t="n"/>
      <c r="M45" s="16" t="inlineStr">
        <is>
          <t>★5</t>
        </is>
      </c>
    </row>
    <row r="46">
      <c r="A46" s="18" t="inlineStr">
        <is>
          <t>Thành tựu PHỤ — xét trong 1 THÁNG (điều kiện thêm của 4★)</t>
        </is>
      </c>
    </row>
    <row r="47">
      <c r="A47" s="10" t="inlineStr">
        <is>
          <t>A1·1T</t>
        </is>
      </c>
      <c r="B47" s="11" t="inlineStr">
        <is>
          <t>Đi học đủ mọi buổi (vắng thì đã học bù)</t>
        </is>
      </c>
      <c r="C47" s="12" t="inlineStr">
        <is>
          <t>1 tháng</t>
        </is>
      </c>
      <c r="D47" s="12" t="inlineStr">
        <is>
          <t>buoi_hoc_hs.diem_danh</t>
        </is>
      </c>
      <c r="E47" s="13">
        <f>COUNTA(F47:M47)</f>
        <v/>
      </c>
      <c r="F47" s="15" t="n"/>
      <c r="G47" s="16" t="inlineStr">
        <is>
          <t>★4</t>
        </is>
      </c>
      <c r="H47" s="15" t="n"/>
      <c r="I47" s="15" t="n"/>
      <c r="J47" s="15" t="n"/>
      <c r="K47" s="15" t="n"/>
      <c r="L47" s="15" t="n"/>
      <c r="M47" s="15" t="n"/>
    </row>
    <row r="48">
      <c r="A48" s="10" t="inlineStr">
        <is>
          <t>A2·1T</t>
        </is>
      </c>
      <c r="B48" s="11" t="inlineStr">
        <is>
          <t>Nộp đủ, đúng hạn mọi BTVN</t>
        </is>
      </c>
      <c r="C48" s="12" t="inlineStr">
        <is>
          <t>1 tháng</t>
        </is>
      </c>
      <c r="D48" s="12" t="inlineStr">
        <is>
          <t>btvn_ket_qua.trang_thai_nop</t>
        </is>
      </c>
      <c r="E48" s="13">
        <f>COUNTA(F48:M48)</f>
        <v/>
      </c>
      <c r="F48" s="16" t="inlineStr">
        <is>
          <t>★4</t>
        </is>
      </c>
      <c r="G48" s="15" t="n"/>
      <c r="H48" s="15" t="n"/>
      <c r="I48" s="15" t="n"/>
      <c r="J48" s="15" t="n"/>
      <c r="K48" s="16" t="inlineStr">
        <is>
          <t>★4</t>
        </is>
      </c>
      <c r="L48" s="16" t="inlineStr">
        <is>
          <t>★4</t>
        </is>
      </c>
      <c r="M48" s="15" t="n"/>
    </row>
    <row r="49">
      <c r="A49" s="10" t="inlineStr">
        <is>
          <t>B3·1T</t>
        </is>
      </c>
      <c r="B49" s="11" t="inlineStr">
        <is>
          <t>MT top 10% khối</t>
        </is>
      </c>
      <c r="C49" s="12" t="inlineStr">
        <is>
          <t>1 tháng</t>
        </is>
      </c>
      <c r="D49" s="12" t="inlineStr">
        <is>
          <t>fn_bxh_diem_mt_khoi (quy hạng theo sĩ số)</t>
        </is>
      </c>
      <c r="E49" s="13">
        <f>COUNTA(F49:M49)</f>
        <v/>
      </c>
      <c r="F49" s="15" t="n"/>
      <c r="G49" s="15" t="n"/>
      <c r="H49" s="15" t="n"/>
      <c r="I49" s="16" t="inlineStr">
        <is>
          <t>★4</t>
        </is>
      </c>
      <c r="J49" s="15" t="n"/>
      <c r="K49" s="15" t="n"/>
      <c r="L49" s="15" t="n"/>
      <c r="M49" s="15" t="n"/>
    </row>
    <row r="50">
      <c r="A50" s="10" t="inlineStr">
        <is>
          <t>B4·1T</t>
        </is>
      </c>
      <c r="B50" s="11" t="inlineStr">
        <is>
          <t>BTVN đúng trung bình ≥ 85%</t>
        </is>
      </c>
      <c r="C50" s="12" t="inlineStr">
        <is>
          <t>1 tháng</t>
        </is>
      </c>
      <c r="D50" s="12" t="inlineStr">
        <is>
          <t>btvn_ket_qua.ti_le_dung</t>
        </is>
      </c>
      <c r="E50" s="13">
        <f>COUNTA(F50:M50)</f>
        <v/>
      </c>
      <c r="F50" s="15" t="n"/>
      <c r="G50" s="15" t="n"/>
      <c r="H50" s="16" t="inlineStr">
        <is>
          <t>★4</t>
        </is>
      </c>
      <c r="I50" s="15" t="n"/>
      <c r="J50" s="15" t="n"/>
      <c r="K50" s="15" t="n"/>
      <c r="L50" s="15" t="n"/>
      <c r="M50" s="15" t="n"/>
    </row>
    <row r="51">
      <c r="A51" s="10" t="inlineStr">
        <is>
          <t>C2·1T</t>
        </is>
      </c>
      <c r="B51" s="11" t="inlineStr">
        <is>
          <t>Tỉ lệ đúng BTVN tăng ≥ 5 điểm so với tháng trước (hoặc giữ ≥ 90%)</t>
        </is>
      </c>
      <c r="C51" s="12" t="inlineStr">
        <is>
          <t>1 tháng</t>
        </is>
      </c>
      <c r="D51" s="12" t="inlineStr">
        <is>
          <t>btvn_ket_qua.ti_le_dung</t>
        </is>
      </c>
      <c r="E51" s="13">
        <f>COUNTA(F51:M51)</f>
        <v/>
      </c>
      <c r="F51" s="15" t="n"/>
      <c r="G51" s="15" t="n"/>
      <c r="H51" s="15" t="n"/>
      <c r="I51" s="15" t="n"/>
      <c r="J51" s="16" t="inlineStr">
        <is>
          <t>★4</t>
        </is>
      </c>
      <c r="K51" s="15" t="n"/>
      <c r="L51" s="15" t="n"/>
      <c r="M51" s="15" t="n"/>
    </row>
    <row r="52">
      <c r="A52" s="18" t="inlineStr">
        <is>
          <t>Thành tựu PHỤ — đạt 3 THÁNG LIÊN TIẾP (điều kiện thêm của 5★)</t>
        </is>
      </c>
    </row>
    <row r="53">
      <c r="A53" s="10" t="inlineStr">
        <is>
          <t>A1·3T</t>
        </is>
      </c>
      <c r="B53" s="11" t="inlineStr">
        <is>
          <t>Đi học đủ mọi buổi (vắng thì đã học bù)</t>
        </is>
      </c>
      <c r="C53" s="12" t="inlineStr">
        <is>
          <t>3 tháng liên tiếp</t>
        </is>
      </c>
      <c r="D53" s="12" t="inlineStr">
        <is>
          <t>buoi_hoc_hs.diem_danh</t>
        </is>
      </c>
      <c r="E53" s="13">
        <f>COUNTA(F53:M53)</f>
        <v/>
      </c>
      <c r="F53" s="15" t="n"/>
      <c r="G53" s="16" t="inlineStr">
        <is>
          <t>★5</t>
        </is>
      </c>
      <c r="H53" s="15" t="n"/>
      <c r="I53" s="15" t="n"/>
      <c r="J53" s="15" t="n"/>
      <c r="K53" s="16" t="inlineStr">
        <is>
          <t>★5</t>
        </is>
      </c>
      <c r="L53" s="15" t="n"/>
      <c r="M53" s="15" t="n"/>
    </row>
    <row r="54">
      <c r="A54" s="10" t="inlineStr">
        <is>
          <t>A2·3T</t>
        </is>
      </c>
      <c r="B54" s="11" t="inlineStr">
        <is>
          <t>Nộp đủ, đúng hạn mọi BTVN</t>
        </is>
      </c>
      <c r="C54" s="12" t="inlineStr">
        <is>
          <t>3 tháng liên tiếp</t>
        </is>
      </c>
      <c r="D54" s="12" t="inlineStr">
        <is>
          <t>btvn_ket_qua.trang_thai_nop</t>
        </is>
      </c>
      <c r="E54" s="13">
        <f>COUNTA(F54:M54)</f>
        <v/>
      </c>
      <c r="F54" s="16" t="inlineStr">
        <is>
          <t>★5</t>
        </is>
      </c>
      <c r="G54" s="15" t="n"/>
      <c r="H54" s="15" t="n"/>
      <c r="I54" s="15" t="n"/>
      <c r="J54" s="15" t="n"/>
      <c r="K54" s="16" t="inlineStr">
        <is>
          <t>★5</t>
        </is>
      </c>
      <c r="L54" s="16" t="inlineStr">
        <is>
          <t>★5</t>
        </is>
      </c>
      <c r="M54" s="15" t="n"/>
    </row>
    <row r="55">
      <c r="A55" s="10" t="inlineStr">
        <is>
          <t>A4·3T</t>
        </is>
      </c>
      <c r="B55" s="11" t="inlineStr">
        <is>
          <t>Tự luyện ≥ 200 câu đúng</t>
        </is>
      </c>
      <c r="C55" s="12" t="inlineStr">
        <is>
          <t>3 tháng liên tiếp</t>
        </is>
      </c>
      <c r="D55" s="12" t="inlineStr">
        <is>
          <t>bai_lam_cau (bài app)</t>
        </is>
      </c>
      <c r="E55" s="13">
        <f>COUNTA(F55:M55)</f>
        <v/>
      </c>
      <c r="F55" s="15" t="n"/>
      <c r="G55" s="16" t="inlineStr">
        <is>
          <t>★5</t>
        </is>
      </c>
      <c r="H55" s="15" t="n"/>
      <c r="I55" s="15" t="n"/>
      <c r="J55" s="15" t="n"/>
      <c r="K55" s="16" t="inlineStr">
        <is>
          <t>★5</t>
        </is>
      </c>
      <c r="L55" s="15" t="n"/>
      <c r="M55" s="15" t="n"/>
    </row>
    <row r="56">
      <c r="A56" s="10" t="inlineStr">
        <is>
          <t>A6·3T</t>
        </is>
      </c>
      <c r="B56" s="11" t="inlineStr">
        <is>
          <t>Pass Thử thách ≥ 15 ngày</t>
        </is>
      </c>
      <c r="C56" s="12" t="inlineStr">
        <is>
          <t>3 tháng liên tiếp</t>
        </is>
      </c>
      <c r="D56" s="12" t="inlineStr">
        <is>
          <t>lượt Thử thách</t>
        </is>
      </c>
      <c r="E56" s="13">
        <f>COUNTA(F56:M56)</f>
        <v/>
      </c>
      <c r="F56" s="16" t="inlineStr">
        <is>
          <t>★5</t>
        </is>
      </c>
      <c r="G56" s="15" t="n"/>
      <c r="H56" s="15" t="n"/>
      <c r="I56" s="15" t="n"/>
      <c r="J56" s="15" t="n"/>
      <c r="K56" s="15" t="n"/>
      <c r="L56" s="16" t="inlineStr">
        <is>
          <t>★5</t>
        </is>
      </c>
      <c r="M56" s="15" t="n"/>
    </row>
    <row r="57">
      <c r="A57" s="10" t="inlineStr">
        <is>
          <t>B1·3T</t>
        </is>
      </c>
      <c r="B57" s="11" t="inlineStr">
        <is>
          <t>ET đúng ≥ 80% ở ≥ 3/4 số bài ET</t>
        </is>
      </c>
      <c r="C57" s="12" t="inlineStr">
        <is>
          <t>3 tháng liên tiếp</t>
        </is>
      </c>
      <c r="D57" s="12" t="inlineStr">
        <is>
          <t>gami_grades (phase et)</t>
        </is>
      </c>
      <c r="E57" s="13">
        <f>COUNTA(F57:M57)</f>
        <v/>
      </c>
      <c r="F57" s="15" t="n"/>
      <c r="G57" s="15" t="n"/>
      <c r="H57" s="15" t="n"/>
      <c r="I57" s="16" t="inlineStr">
        <is>
          <t>★5</t>
        </is>
      </c>
      <c r="J57" s="15" t="n"/>
      <c r="K57" s="15" t="n"/>
      <c r="L57" s="15" t="n"/>
      <c r="M57" s="15" t="n"/>
    </row>
    <row r="58">
      <c r="A58" s="10" t="inlineStr">
        <is>
          <t>B3·3T</t>
        </is>
      </c>
      <c r="B58" s="11" t="inlineStr">
        <is>
          <t>MT top 10% khối</t>
        </is>
      </c>
      <c r="C58" s="12" t="inlineStr">
        <is>
          <t>3 tháng liên tiếp</t>
        </is>
      </c>
      <c r="D58" s="12" t="inlineStr">
        <is>
          <t>fn_bxh_diem_mt_khoi (quy hạng theo sĩ số)</t>
        </is>
      </c>
      <c r="E58" s="13">
        <f>COUNTA(F58:M58)</f>
        <v/>
      </c>
      <c r="F58" s="15" t="n"/>
      <c r="G58" s="15" t="n"/>
      <c r="H58" s="16" t="inlineStr">
        <is>
          <t>★5</t>
        </is>
      </c>
      <c r="I58" s="16" t="inlineStr">
        <is>
          <t>★5</t>
        </is>
      </c>
      <c r="J58" s="15" t="n"/>
      <c r="K58" s="15" t="n"/>
      <c r="L58" s="15" t="n"/>
      <c r="M58" s="15" t="n"/>
    </row>
    <row r="59">
      <c r="A59" s="10" t="inlineStr">
        <is>
          <t>B5·3T</t>
        </is>
      </c>
      <c r="B59" s="11" t="inlineStr">
        <is>
          <t>BTVN đúng trung bình ≥ 90%</t>
        </is>
      </c>
      <c r="C59" s="12" t="inlineStr">
        <is>
          <t>3 tháng liên tiếp</t>
        </is>
      </c>
      <c r="D59" s="12" t="inlineStr">
        <is>
          <t>btvn_ket_qua.ti_le_dung</t>
        </is>
      </c>
      <c r="E59" s="13">
        <f>COUNTA(F59:M59)</f>
        <v/>
      </c>
      <c r="F59" s="15" t="n"/>
      <c r="G59" s="15" t="n"/>
      <c r="H59" s="16" t="inlineStr">
        <is>
          <t>★5</t>
        </is>
      </c>
      <c r="I59" s="15" t="n"/>
      <c r="J59" s="15" t="n"/>
      <c r="K59" s="15" t="n"/>
      <c r="L59" s="15" t="n"/>
      <c r="M59" s="15" t="n"/>
    </row>
    <row r="60">
      <c r="A60" s="10" t="inlineStr">
        <is>
          <t>C2·3T</t>
        </is>
      </c>
      <c r="B60" s="11" t="inlineStr">
        <is>
          <t>Tỉ lệ đúng BTVN tăng ≥ 5 điểm so với tháng trước (hoặc giữ ≥ 90%)</t>
        </is>
      </c>
      <c r="C60" s="12" t="inlineStr">
        <is>
          <t>3 tháng liên tiếp</t>
        </is>
      </c>
      <c r="D60" s="12" t="inlineStr">
        <is>
          <t>btvn_ket_qua.ti_le_dung</t>
        </is>
      </c>
      <c r="E60" s="13">
        <f>COUNTA(F60:M60)</f>
        <v/>
      </c>
      <c r="F60" s="15" t="n"/>
      <c r="G60" s="15" t="n"/>
      <c r="H60" s="15" t="n"/>
      <c r="I60" s="15" t="n"/>
      <c r="J60" s="16" t="inlineStr">
        <is>
          <t>★5</t>
        </is>
      </c>
      <c r="K60" s="15" t="n"/>
      <c r="L60" s="15" t="n"/>
      <c r="M60" s="15" t="n"/>
    </row>
    <row r="61">
      <c r="A61" s="10" t="inlineStr">
        <is>
          <t>C3·3T</t>
        </is>
      </c>
      <c r="B61" s="11" t="inlineStr">
        <is>
          <t>Lấp ≥ 1 lỗ (dạng yếu → đạt)</t>
        </is>
      </c>
      <c r="C61" s="12" t="inlineStr">
        <is>
          <t>3 tháng liên tiếp</t>
        </is>
      </c>
      <c r="D61" s="12" t="inlineStr">
        <is>
          <t>fn_mastery_cells</t>
        </is>
      </c>
      <c r="E61" s="13">
        <f>COUNTA(F61:M61)</f>
        <v/>
      </c>
      <c r="F61" s="15" t="n"/>
      <c r="G61" s="15" t="n"/>
      <c r="H61" s="15" t="n"/>
      <c r="I61" s="15" t="n"/>
      <c r="J61" s="16" t="inlineStr">
        <is>
          <t>★5</t>
        </is>
      </c>
      <c r="K61" s="15" t="n"/>
      <c r="L61" s="15" t="n"/>
      <c r="M61" s="15" t="n"/>
    </row>
    <row r="62">
      <c r="B62" s="19" t="inlineStr">
        <is>
          <t>Tổng số thành tựu mỗi huy hiệu dùng (mọi sao)</t>
        </is>
      </c>
      <c r="F62" s="20">
        <f>COUNTA(F5:F61)</f>
        <v/>
      </c>
      <c r="G62" s="20">
        <f>COUNTA(G5:G61)</f>
        <v/>
      </c>
      <c r="H62" s="20">
        <f>COUNTA(H5:H61)</f>
        <v/>
      </c>
      <c r="I62" s="20">
        <f>COUNTA(I5:I61)</f>
        <v/>
      </c>
      <c r="J62" s="20">
        <f>COUNTA(J5:J61)</f>
        <v/>
      </c>
      <c r="K62" s="20">
        <f>COUNTA(K5:K61)</f>
        <v/>
      </c>
      <c r="L62" s="20">
        <f>COUNTA(L5:L61)</f>
        <v/>
      </c>
      <c r="M62" s="20">
        <f>COUNTA(M5:M61)</f>
        <v/>
      </c>
    </row>
  </sheetData>
  <mergeCells count="11">
    <mergeCell ref="A46:M46"/>
    <mergeCell ref="A1:A3"/>
    <mergeCell ref="D1:D3"/>
    <mergeCell ref="B1:B3"/>
    <mergeCell ref="C1:C3"/>
    <mergeCell ref="A35:M35"/>
    <mergeCell ref="L1:M1"/>
    <mergeCell ref="F1:K1"/>
    <mergeCell ref="A4:M4"/>
    <mergeCell ref="E1:E3"/>
    <mergeCell ref="A52:M5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30" customWidth="1" min="4" max="4"/>
    <col width="70" customWidth="1" min="5" max="5"/>
    <col width="14" customWidth="1" min="6" max="6"/>
    <col width="12" customWidth="1" min="7" max="7"/>
    <col width="10" customWidth="1" min="8" max="8"/>
  </cols>
  <sheetData>
    <row r="1">
      <c r="A1" s="1" t="inlineStr">
        <is>
          <t>Loại</t>
        </is>
      </c>
      <c r="B1" s="1" t="inlineStr">
        <is>
          <t>Huy hiệu</t>
        </is>
      </c>
      <c r="C1" s="1" t="inlineStr">
        <is>
          <t>Sao</t>
        </is>
      </c>
      <c r="D1" s="1" t="inlineStr">
        <is>
          <t>Điều kiện (mã thành tựu)</t>
        </is>
      </c>
      <c r="E1" s="1" t="inlineStr">
        <is>
          <t>Diễn giải</t>
        </is>
      </c>
      <c r="F1" s="1" t="inlineStr">
        <is>
          <t>Số điều kiện (đếm từ Ma trận)</t>
        </is>
      </c>
      <c r="G1" s="1" t="inlineStr">
        <is>
          <t>Bản cứng</t>
        </is>
      </c>
      <c r="H1" s="1" t="inlineStr">
        <is>
          <t>EXP thưởng</t>
        </is>
      </c>
    </row>
    <row r="2">
      <c r="A2" s="21" t="inlineStr">
        <is>
          <t>1 · CỐT LÕI — 6 huy hiệu (dữ liệu có sẵn, đo chắc)</t>
        </is>
      </c>
      <c r="B2" s="22" t="inlineStr">
        <is>
          <t>Không Nghỉ</t>
        </is>
      </c>
      <c r="C2" s="23" t="inlineStr">
        <is>
          <t>★1</t>
        </is>
      </c>
      <c r="D2" s="24" t="inlineStr">
        <is>
          <t>KN-1</t>
        </is>
      </c>
      <c r="E2" s="24" t="inlineStr">
        <is>
          <t>Chuỗi buổi có mặt liên tục ≥ 10 buổi</t>
        </is>
      </c>
      <c r="F2" s="25">
        <f>COUNTIF('Ma trận'!F$5:F$61,C2)</f>
        <v/>
      </c>
      <c r="G2" s="25" t="inlineStr">
        <is>
          <t>—</t>
        </is>
      </c>
      <c r="H2" s="25" t="n">
        <v>0</v>
      </c>
    </row>
    <row r="3">
      <c r="A3" s="21" t="inlineStr">
        <is>
          <t>1 · CỐT LÕI — 6 huy hiệu (dữ liệu có sẵn, đo chắc)</t>
        </is>
      </c>
      <c r="B3" s="22" t="inlineStr">
        <is>
          <t>Không Nghỉ</t>
        </is>
      </c>
      <c r="C3" s="23" t="inlineStr">
        <is>
          <t>★2</t>
        </is>
      </c>
      <c r="D3" s="24" t="inlineStr">
        <is>
          <t>KN-2</t>
        </is>
      </c>
      <c r="E3" s="24" t="inlineStr">
        <is>
          <t>Chuỗi buổi có mặt liên tục ≥ 30 buổi</t>
        </is>
      </c>
      <c r="F3" s="25">
        <f>COUNTIF('Ma trận'!F$5:F$61,C3)</f>
        <v/>
      </c>
      <c r="G3" s="25" t="inlineStr">
        <is>
          <t>—</t>
        </is>
      </c>
      <c r="H3" s="25" t="n">
        <v>0</v>
      </c>
    </row>
    <row r="4">
      <c r="A4" s="21" t="inlineStr">
        <is>
          <t>1 · CỐT LÕI — 6 huy hiệu (dữ liệu có sẵn, đo chắc)</t>
        </is>
      </c>
      <c r="B4" s="22" t="inlineStr">
        <is>
          <t>Không Nghỉ</t>
        </is>
      </c>
      <c r="C4" s="23" t="inlineStr">
        <is>
          <t>★3</t>
        </is>
      </c>
      <c r="D4" s="24" t="inlineStr">
        <is>
          <t>KN-3</t>
        </is>
      </c>
      <c r="E4" s="24" t="inlineStr">
        <is>
          <t>Chuỗi buổi có mặt liên tục ≥ 60 buổi</t>
        </is>
      </c>
      <c r="F4" s="25">
        <f>COUNTIF('Ma trận'!F$5:F$61,C4)</f>
        <v/>
      </c>
      <c r="G4" s="25" t="inlineStr">
        <is>
          <t>—</t>
        </is>
      </c>
      <c r="H4" s="25" t="n">
        <v>100</v>
      </c>
    </row>
    <row r="5">
      <c r="A5" s="21" t="inlineStr">
        <is>
          <t>1 · CỐT LÕI — 6 huy hiệu (dữ liệu có sẵn, đo chắc)</t>
        </is>
      </c>
      <c r="B5" s="22" t="inlineStr">
        <is>
          <t>Không Nghỉ</t>
        </is>
      </c>
      <c r="C5" s="26" t="inlineStr">
        <is>
          <t>★4</t>
        </is>
      </c>
      <c r="D5" s="24" t="inlineStr">
        <is>
          <t>KN-4 + A2·1T</t>
        </is>
      </c>
      <c r="E5" s="24" t="inlineStr">
        <is>
          <t>Chuỗi buổi có mặt liên tục ≥ 90 buổi · VÀ trong 1 tháng: Nộp đủ, đúng hạn mọi BTVN</t>
        </is>
      </c>
      <c r="F5" s="25">
        <f>COUNTIF('Ma trận'!F$5:F$61,C5)</f>
        <v/>
      </c>
      <c r="G5" s="25" t="inlineStr">
        <is>
          <t>Có (GV trao)</t>
        </is>
      </c>
      <c r="H5" s="25" t="n">
        <v>200</v>
      </c>
    </row>
    <row r="6">
      <c r="A6" s="21" t="inlineStr">
        <is>
          <t>1 · CỐT LÕI — 6 huy hiệu (dữ liệu có sẵn, đo chắc)</t>
        </is>
      </c>
      <c r="B6" s="22" t="inlineStr">
        <is>
          <t>Không Nghỉ</t>
        </is>
      </c>
      <c r="C6" s="26" t="inlineStr">
        <is>
          <t>★5</t>
        </is>
      </c>
      <c r="D6" s="24" t="inlineStr">
        <is>
          <t>KN-5 + A2·3T + A6·3T</t>
        </is>
      </c>
      <c r="E6" s="24" t="inlineStr">
        <is>
          <t>Chuỗi buổi có mặt liên tục ≥ 150 buổi · VÀ 3 tháng liên tiếp: Nộp đủ, đúng hạn mọi BTVN · Pass Thử thách ≥ 15 ngày</t>
        </is>
      </c>
      <c r="F6" s="25">
        <f>COUNTIF('Ma trận'!F$5:F$61,C6)</f>
        <v/>
      </c>
      <c r="G6" s="25" t="inlineStr">
        <is>
          <t>Có (GV trao)</t>
        </is>
      </c>
      <c r="H6" s="25" t="n">
        <v>300</v>
      </c>
    </row>
    <row r="7">
      <c r="A7" s="21" t="inlineStr">
        <is>
          <t>1 · CỐT LÕI — 6 huy hiệu (dữ liệu có sẵn, đo chắc)</t>
        </is>
      </c>
      <c r="B7" s="22" t="inlineStr">
        <is>
          <t>Đúng Hẹn</t>
        </is>
      </c>
      <c r="C7" s="23" t="inlineStr">
        <is>
          <t>★1</t>
        </is>
      </c>
      <c r="D7" s="24" t="inlineStr">
        <is>
          <t>DH-1</t>
        </is>
      </c>
      <c r="E7" s="24" t="inlineStr">
        <is>
          <t>Chuỗi bài BTVN nộp đủ, đúng hạn ≥ 10 bài</t>
        </is>
      </c>
      <c r="F7" s="25">
        <f>COUNTIF('Ma trận'!G$5:G$61,C7)</f>
        <v/>
      </c>
      <c r="G7" s="25" t="inlineStr">
        <is>
          <t>—</t>
        </is>
      </c>
      <c r="H7" s="25" t="n">
        <v>0</v>
      </c>
    </row>
    <row r="8">
      <c r="A8" s="21" t="inlineStr">
        <is>
          <t>1 · CỐT LÕI — 6 huy hiệu (dữ liệu có sẵn, đo chắc)</t>
        </is>
      </c>
      <c r="B8" s="22" t="inlineStr">
        <is>
          <t>Đúng Hẹn</t>
        </is>
      </c>
      <c r="C8" s="23" t="inlineStr">
        <is>
          <t>★2</t>
        </is>
      </c>
      <c r="D8" s="24" t="inlineStr">
        <is>
          <t>DH-2</t>
        </is>
      </c>
      <c r="E8" s="24" t="inlineStr">
        <is>
          <t>Chuỗi bài BTVN nộp đủ, đúng hạn ≥ 30 bài</t>
        </is>
      </c>
      <c r="F8" s="25">
        <f>COUNTIF('Ma trận'!G$5:G$61,C8)</f>
        <v/>
      </c>
      <c r="G8" s="25" t="inlineStr">
        <is>
          <t>—</t>
        </is>
      </c>
      <c r="H8" s="25" t="n">
        <v>0</v>
      </c>
    </row>
    <row r="9">
      <c r="A9" s="21" t="inlineStr">
        <is>
          <t>1 · CỐT LÕI — 6 huy hiệu (dữ liệu có sẵn, đo chắc)</t>
        </is>
      </c>
      <c r="B9" s="22" t="inlineStr">
        <is>
          <t>Đúng Hẹn</t>
        </is>
      </c>
      <c r="C9" s="23" t="inlineStr">
        <is>
          <t>★3</t>
        </is>
      </c>
      <c r="D9" s="24" t="inlineStr">
        <is>
          <t>DH-3</t>
        </is>
      </c>
      <c r="E9" s="24" t="inlineStr">
        <is>
          <t>Chuỗi bài BTVN nộp đủ, đúng hạn ≥ 60 bài</t>
        </is>
      </c>
      <c r="F9" s="25">
        <f>COUNTIF('Ma trận'!G$5:G$61,C9)</f>
        <v/>
      </c>
      <c r="G9" s="25" t="inlineStr">
        <is>
          <t>—</t>
        </is>
      </c>
      <c r="H9" s="25" t="n">
        <v>100</v>
      </c>
    </row>
    <row r="10">
      <c r="A10" s="21" t="inlineStr">
        <is>
          <t>1 · CỐT LÕI — 6 huy hiệu (dữ liệu có sẵn, đo chắc)</t>
        </is>
      </c>
      <c r="B10" s="22" t="inlineStr">
        <is>
          <t>Đúng Hẹn</t>
        </is>
      </c>
      <c r="C10" s="26" t="inlineStr">
        <is>
          <t>★4</t>
        </is>
      </c>
      <c r="D10" s="24" t="inlineStr">
        <is>
          <t>DH-4 + A1·1T</t>
        </is>
      </c>
      <c r="E10" s="24" t="inlineStr">
        <is>
          <t>Chuỗi bài BTVN nộp đủ, đúng hạn ≥ 90 bài · VÀ trong 1 tháng: Đi học đủ mọi buổi (vắng thì đã học bù)</t>
        </is>
      </c>
      <c r="F10" s="25">
        <f>COUNTIF('Ma trận'!G$5:G$61,C10)</f>
        <v/>
      </c>
      <c r="G10" s="25" t="inlineStr">
        <is>
          <t>Có (GV trao)</t>
        </is>
      </c>
      <c r="H10" s="25" t="n">
        <v>200</v>
      </c>
    </row>
    <row r="11">
      <c r="A11" s="21" t="inlineStr">
        <is>
          <t>1 · CỐT LÕI — 6 huy hiệu (dữ liệu có sẵn, đo chắc)</t>
        </is>
      </c>
      <c r="B11" s="22" t="inlineStr">
        <is>
          <t>Đúng Hẹn</t>
        </is>
      </c>
      <c r="C11" s="26" t="inlineStr">
        <is>
          <t>★5</t>
        </is>
      </c>
      <c r="D11" s="24" t="inlineStr">
        <is>
          <t>DH-5 + A1·3T + A4·3T</t>
        </is>
      </c>
      <c r="E11" s="24" t="inlineStr">
        <is>
          <t>Chuỗi bài BTVN nộp đủ, đúng hạn ≥ 150 bài · VÀ 3 tháng liên tiếp: Đi học đủ mọi buổi (vắng thì đã học bù) · Tự luyện ≥ 200 câu đúng</t>
        </is>
      </c>
      <c r="F11" s="25">
        <f>COUNTIF('Ma trận'!G$5:G$61,C11)</f>
        <v/>
      </c>
      <c r="G11" s="25" t="inlineStr">
        <is>
          <t>Có (GV trao)</t>
        </is>
      </c>
      <c r="H11" s="25" t="n">
        <v>300</v>
      </c>
    </row>
    <row r="12">
      <c r="A12" s="21" t="inlineStr">
        <is>
          <t>1 · CỐT LÕI — 6 huy hiệu (dữ liệu có sẵn, đo chắc)</t>
        </is>
      </c>
      <c r="B12" s="22" t="inlineStr">
        <is>
          <t>Lên Tay</t>
        </is>
      </c>
      <c r="C12" s="23" t="inlineStr">
        <is>
          <t>★1</t>
        </is>
      </c>
      <c r="D12" s="24" t="inlineStr">
        <is>
          <t>LT-1</t>
        </is>
      </c>
      <c r="E12" s="24" t="inlineStr">
        <is>
          <t>Số bài ET đúng ≥ 80% ≥ 3 bài</t>
        </is>
      </c>
      <c r="F12" s="25">
        <f>COUNTIF('Ma trận'!H$5:H$61,C12)</f>
        <v/>
      </c>
      <c r="G12" s="25" t="inlineStr">
        <is>
          <t>—</t>
        </is>
      </c>
      <c r="H12" s="25" t="n">
        <v>0</v>
      </c>
    </row>
    <row r="13">
      <c r="A13" s="21" t="inlineStr">
        <is>
          <t>1 · CỐT LÕI — 6 huy hiệu (dữ liệu có sẵn, đo chắc)</t>
        </is>
      </c>
      <c r="B13" s="22" t="inlineStr">
        <is>
          <t>Lên Tay</t>
        </is>
      </c>
      <c r="C13" s="23" t="inlineStr">
        <is>
          <t>★2</t>
        </is>
      </c>
      <c r="D13" s="24" t="inlineStr">
        <is>
          <t>LT-2</t>
        </is>
      </c>
      <c r="E13" s="24" t="inlineStr">
        <is>
          <t>Số bài ET đúng ≥ 80% ≥ 15 bài</t>
        </is>
      </c>
      <c r="F13" s="25">
        <f>COUNTIF('Ma trận'!H$5:H$61,C13)</f>
        <v/>
      </c>
      <c r="G13" s="25" t="inlineStr">
        <is>
          <t>—</t>
        </is>
      </c>
      <c r="H13" s="25" t="n">
        <v>0</v>
      </c>
    </row>
    <row r="14">
      <c r="A14" s="21" t="inlineStr">
        <is>
          <t>1 · CỐT LÕI — 6 huy hiệu (dữ liệu có sẵn, đo chắc)</t>
        </is>
      </c>
      <c r="B14" s="22" t="inlineStr">
        <is>
          <t>Lên Tay</t>
        </is>
      </c>
      <c r="C14" s="23" t="inlineStr">
        <is>
          <t>★3</t>
        </is>
      </c>
      <c r="D14" s="24" t="inlineStr">
        <is>
          <t>LT-3</t>
        </is>
      </c>
      <c r="E14" s="24" t="inlineStr">
        <is>
          <t>Số bài ET đúng ≥ 80% ≥ 40 bài</t>
        </is>
      </c>
      <c r="F14" s="25">
        <f>COUNTIF('Ma trận'!H$5:H$61,C14)</f>
        <v/>
      </c>
      <c r="G14" s="25" t="inlineStr">
        <is>
          <t>—</t>
        </is>
      </c>
      <c r="H14" s="25" t="n">
        <v>100</v>
      </c>
    </row>
    <row r="15">
      <c r="A15" s="21" t="inlineStr">
        <is>
          <t>1 · CỐT LÕI — 6 huy hiệu (dữ liệu có sẵn, đo chắc)</t>
        </is>
      </c>
      <c r="B15" s="22" t="inlineStr">
        <is>
          <t>Lên Tay</t>
        </is>
      </c>
      <c r="C15" s="26" t="inlineStr">
        <is>
          <t>★4</t>
        </is>
      </c>
      <c r="D15" s="24" t="inlineStr">
        <is>
          <t>LT-4 + B4·1T</t>
        </is>
      </c>
      <c r="E15" s="24" t="inlineStr">
        <is>
          <t>Số bài ET đúng ≥ 80% ≥ 60 bài · VÀ trong 1 tháng: BTVN đúng trung bình ≥ 85%</t>
        </is>
      </c>
      <c r="F15" s="25">
        <f>COUNTIF('Ma trận'!H$5:H$61,C15)</f>
        <v/>
      </c>
      <c r="G15" s="25" t="inlineStr">
        <is>
          <t>Có (GV trao)</t>
        </is>
      </c>
      <c r="H15" s="25" t="n">
        <v>200</v>
      </c>
    </row>
    <row r="16">
      <c r="A16" s="21" t="inlineStr">
        <is>
          <t>1 · CỐT LÕI — 6 huy hiệu (dữ liệu có sẵn, đo chắc)</t>
        </is>
      </c>
      <c r="B16" s="22" t="inlineStr">
        <is>
          <t>Lên Tay</t>
        </is>
      </c>
      <c r="C16" s="26" t="inlineStr">
        <is>
          <t>★5</t>
        </is>
      </c>
      <c r="D16" s="24" t="inlineStr">
        <is>
          <t>LT-5 + B3·3T + B5·3T</t>
        </is>
      </c>
      <c r="E16" s="24" t="inlineStr">
        <is>
          <t>Số bài ET đúng ≥ 80% ≥ 90 bài · VÀ 3 tháng liên tiếp: MT top 10% khối · BTVN đúng trung bình ≥ 90%</t>
        </is>
      </c>
      <c r="F16" s="25">
        <f>COUNTIF('Ma trận'!H$5:H$61,C16)</f>
        <v/>
      </c>
      <c r="G16" s="25" t="inlineStr">
        <is>
          <t>Có (GV trao)</t>
        </is>
      </c>
      <c r="H16" s="25" t="n">
        <v>300</v>
      </c>
    </row>
    <row r="17">
      <c r="A17" s="21" t="inlineStr">
        <is>
          <t>1 · CỐT LÕI — 6 huy hiệu (dữ liệu có sẵn, đo chắc)</t>
        </is>
      </c>
      <c r="B17" s="22" t="inlineStr">
        <is>
          <t>Tốp Đầu</t>
        </is>
      </c>
      <c r="C17" s="23" t="inlineStr">
        <is>
          <t>★1</t>
        </is>
      </c>
      <c r="D17" s="24" t="inlineStr">
        <is>
          <t>TD-1</t>
        </is>
      </c>
      <c r="E17" s="24" t="inlineStr">
        <is>
          <t>Số lần MT top 30% khối ≥ 1 lần</t>
        </is>
      </c>
      <c r="F17" s="25">
        <f>COUNTIF('Ma trận'!I$5:I$61,C17)</f>
        <v/>
      </c>
      <c r="G17" s="25" t="inlineStr">
        <is>
          <t>—</t>
        </is>
      </c>
      <c r="H17" s="25" t="n">
        <v>0</v>
      </c>
    </row>
    <row r="18">
      <c r="A18" s="21" t="inlineStr">
        <is>
          <t>1 · CỐT LÕI — 6 huy hiệu (dữ liệu có sẵn, đo chắc)</t>
        </is>
      </c>
      <c r="B18" s="22" t="inlineStr">
        <is>
          <t>Tốp Đầu</t>
        </is>
      </c>
      <c r="C18" s="23" t="inlineStr">
        <is>
          <t>★2</t>
        </is>
      </c>
      <c r="D18" s="24" t="inlineStr">
        <is>
          <t>TD-2</t>
        </is>
      </c>
      <c r="E18" s="24" t="inlineStr">
        <is>
          <t>Số lần MT top 30% khối ≥ 3 lần</t>
        </is>
      </c>
      <c r="F18" s="25">
        <f>COUNTIF('Ma trận'!I$5:I$61,C18)</f>
        <v/>
      </c>
      <c r="G18" s="25" t="inlineStr">
        <is>
          <t>—</t>
        </is>
      </c>
      <c r="H18" s="25" t="n">
        <v>0</v>
      </c>
    </row>
    <row r="19">
      <c r="A19" s="21" t="inlineStr">
        <is>
          <t>1 · CỐT LÕI — 6 huy hiệu (dữ liệu có sẵn, đo chắc)</t>
        </is>
      </c>
      <c r="B19" s="22" t="inlineStr">
        <is>
          <t>Tốp Đầu</t>
        </is>
      </c>
      <c r="C19" s="23" t="inlineStr">
        <is>
          <t>★3</t>
        </is>
      </c>
      <c r="D19" s="24" t="inlineStr">
        <is>
          <t>TD-3</t>
        </is>
      </c>
      <c r="E19" s="24" t="inlineStr">
        <is>
          <t>Số lần MT top 30% khối ≥ 6 lần</t>
        </is>
      </c>
      <c r="F19" s="25">
        <f>COUNTIF('Ma trận'!I$5:I$61,C19)</f>
        <v/>
      </c>
      <c r="G19" s="25" t="inlineStr">
        <is>
          <t>—</t>
        </is>
      </c>
      <c r="H19" s="25" t="n">
        <v>100</v>
      </c>
    </row>
    <row r="20">
      <c r="A20" s="21" t="inlineStr">
        <is>
          <t>1 · CỐT LÕI — 6 huy hiệu (dữ liệu có sẵn, đo chắc)</t>
        </is>
      </c>
      <c r="B20" s="22" t="inlineStr">
        <is>
          <t>Tốp Đầu</t>
        </is>
      </c>
      <c r="C20" s="26" t="inlineStr">
        <is>
          <t>★4</t>
        </is>
      </c>
      <c r="D20" s="24" t="inlineStr">
        <is>
          <t>TD-4 + B3·1T</t>
        </is>
      </c>
      <c r="E20" s="24" t="inlineStr">
        <is>
          <t>Số lần MT top 30% khối ≥ 8 lần · VÀ trong 1 tháng: MT top 10% khối</t>
        </is>
      </c>
      <c r="F20" s="25">
        <f>COUNTIF('Ma trận'!I$5:I$61,C20)</f>
        <v/>
      </c>
      <c r="G20" s="25" t="inlineStr">
        <is>
          <t>Có (GV trao)</t>
        </is>
      </c>
      <c r="H20" s="25" t="n">
        <v>200</v>
      </c>
    </row>
    <row r="21">
      <c r="A21" s="21" t="inlineStr">
        <is>
          <t>1 · CỐT LÕI — 6 huy hiệu (dữ liệu có sẵn, đo chắc)</t>
        </is>
      </c>
      <c r="B21" s="22" t="inlineStr">
        <is>
          <t>Tốp Đầu</t>
        </is>
      </c>
      <c r="C21" s="26" t="inlineStr">
        <is>
          <t>★5</t>
        </is>
      </c>
      <c r="D21" s="24" t="inlineStr">
        <is>
          <t>TD-5 + B1·3T + B3·3T</t>
        </is>
      </c>
      <c r="E21" s="24" t="inlineStr">
        <is>
          <t>Số lần MT top 30% khối ≥ 10 lần · VÀ 3 tháng liên tiếp: ET đúng ≥ 80% ở ≥ 3/4 số bài ET · MT top 10% khối</t>
        </is>
      </c>
      <c r="F21" s="25">
        <f>COUNTIF('Ma trận'!I$5:I$61,C21)</f>
        <v/>
      </c>
      <c r="G21" s="25" t="inlineStr">
        <is>
          <t>Có (GV trao)</t>
        </is>
      </c>
      <c r="H21" s="25" t="n">
        <v>300</v>
      </c>
    </row>
    <row r="22">
      <c r="A22" s="21" t="inlineStr">
        <is>
          <t>1 · CỐT LÕI — 6 huy hiệu (dữ liệu có sẵn, đo chắc)</t>
        </is>
      </c>
      <c r="B22" s="22" t="inlineStr">
        <is>
          <t>Bứt Phá</t>
        </is>
      </c>
      <c r="C22" s="23" t="inlineStr">
        <is>
          <t>★1</t>
        </is>
      </c>
      <c r="D22" s="24" t="inlineStr">
        <is>
          <t>BP-1</t>
        </is>
      </c>
      <c r="E22" s="24" t="inlineStr">
        <is>
          <t>Số lần hạng MT tăng (hoặc giữ top 10%) ≥ 1 lần</t>
        </is>
      </c>
      <c r="F22" s="25">
        <f>COUNTIF('Ma trận'!J$5:J$61,C22)</f>
        <v/>
      </c>
      <c r="G22" s="25" t="inlineStr">
        <is>
          <t>—</t>
        </is>
      </c>
      <c r="H22" s="25" t="n">
        <v>0</v>
      </c>
    </row>
    <row r="23">
      <c r="A23" s="21" t="inlineStr">
        <is>
          <t>1 · CỐT LÕI — 6 huy hiệu (dữ liệu có sẵn, đo chắc)</t>
        </is>
      </c>
      <c r="B23" s="22" t="inlineStr">
        <is>
          <t>Bứt Phá</t>
        </is>
      </c>
      <c r="C23" s="23" t="inlineStr">
        <is>
          <t>★2</t>
        </is>
      </c>
      <c r="D23" s="24" t="inlineStr">
        <is>
          <t>BP-2</t>
        </is>
      </c>
      <c r="E23" s="24" t="inlineStr">
        <is>
          <t>Số lần hạng MT tăng (hoặc giữ top 10%) ≥ 3 lần</t>
        </is>
      </c>
      <c r="F23" s="25">
        <f>COUNTIF('Ma trận'!J$5:J$61,C23)</f>
        <v/>
      </c>
      <c r="G23" s="25" t="inlineStr">
        <is>
          <t>—</t>
        </is>
      </c>
      <c r="H23" s="25" t="n">
        <v>0</v>
      </c>
    </row>
    <row r="24">
      <c r="A24" s="21" t="inlineStr">
        <is>
          <t>1 · CỐT LÕI — 6 huy hiệu (dữ liệu có sẵn, đo chắc)</t>
        </is>
      </c>
      <c r="B24" s="22" t="inlineStr">
        <is>
          <t>Bứt Phá</t>
        </is>
      </c>
      <c r="C24" s="23" t="inlineStr">
        <is>
          <t>★3</t>
        </is>
      </c>
      <c r="D24" s="24" t="inlineStr">
        <is>
          <t>BP-3</t>
        </is>
      </c>
      <c r="E24" s="24" t="inlineStr">
        <is>
          <t>Số lần hạng MT tăng (hoặc giữ top 10%) ≥ 6 lần</t>
        </is>
      </c>
      <c r="F24" s="25">
        <f>COUNTIF('Ma trận'!J$5:J$61,C24)</f>
        <v/>
      </c>
      <c r="G24" s="25" t="inlineStr">
        <is>
          <t>—</t>
        </is>
      </c>
      <c r="H24" s="25" t="n">
        <v>100</v>
      </c>
    </row>
    <row r="25">
      <c r="A25" s="21" t="inlineStr">
        <is>
          <t>1 · CỐT LÕI — 6 huy hiệu (dữ liệu có sẵn, đo chắc)</t>
        </is>
      </c>
      <c r="B25" s="22" t="inlineStr">
        <is>
          <t>Bứt Phá</t>
        </is>
      </c>
      <c r="C25" s="26" t="inlineStr">
        <is>
          <t>★4</t>
        </is>
      </c>
      <c r="D25" s="24" t="inlineStr">
        <is>
          <t>BP-4 + C2·1T</t>
        </is>
      </c>
      <c r="E25" s="24" t="inlineStr">
        <is>
          <t>Số lần hạng MT tăng (hoặc giữ top 10%) ≥ 8 lần · VÀ trong 1 tháng: Tỉ lệ đúng BTVN tăng ≥ 5 điểm so với tháng trước (hoặc giữ ≥ 90%)</t>
        </is>
      </c>
      <c r="F25" s="25">
        <f>COUNTIF('Ma trận'!J$5:J$61,C25)</f>
        <v/>
      </c>
      <c r="G25" s="25" t="inlineStr">
        <is>
          <t>Có (GV trao)</t>
        </is>
      </c>
      <c r="H25" s="25" t="n">
        <v>200</v>
      </c>
    </row>
    <row r="26">
      <c r="A26" s="21" t="inlineStr">
        <is>
          <t>1 · CỐT LÕI — 6 huy hiệu (dữ liệu có sẵn, đo chắc)</t>
        </is>
      </c>
      <c r="B26" s="22" t="inlineStr">
        <is>
          <t>Bứt Phá</t>
        </is>
      </c>
      <c r="C26" s="26" t="inlineStr">
        <is>
          <t>★5</t>
        </is>
      </c>
      <c r="D26" s="24" t="inlineStr">
        <is>
          <t>BP-5 + C2·3T + C3·3T</t>
        </is>
      </c>
      <c r="E26" s="24" t="inlineStr">
        <is>
          <t>Số lần hạng MT tăng (hoặc giữ top 10%) ≥ 10 lần · VÀ 3 tháng liên tiếp: Tỉ lệ đúng BTVN tăng ≥ 5 điểm so với tháng trước (hoặc giữ ≥ 90%) · Lấp ≥ 1 lỗ (dạng yếu → đạt)</t>
        </is>
      </c>
      <c r="F26" s="25">
        <f>COUNTIF('Ma trận'!J$5:J$61,C26)</f>
        <v/>
      </c>
      <c r="G26" s="25" t="inlineStr">
        <is>
          <t>Có (GV trao)</t>
        </is>
      </c>
      <c r="H26" s="25" t="n">
        <v>300</v>
      </c>
    </row>
    <row r="27">
      <c r="A27" s="21" t="inlineStr">
        <is>
          <t>1 · CỐT LÕI — 6 huy hiệu (dữ liệu có sẵn, đo chắc)</t>
        </is>
      </c>
      <c r="B27" s="22" t="inlineStr">
        <is>
          <t>Bền Bỉ</t>
        </is>
      </c>
      <c r="C27" s="23" t="inlineStr">
        <is>
          <t>★1</t>
        </is>
      </c>
      <c r="D27" s="24" t="inlineStr">
        <is>
          <t>BB-1</t>
        </is>
      </c>
      <c r="E27" s="24" t="inlineStr">
        <is>
          <t>Tổng số ngày pass Thử thách ≥ 10 ngày</t>
        </is>
      </c>
      <c r="F27" s="25">
        <f>COUNTIF('Ma trận'!K$5:K$61,C27)</f>
        <v/>
      </c>
      <c r="G27" s="25" t="inlineStr">
        <is>
          <t>—</t>
        </is>
      </c>
      <c r="H27" s="25" t="n">
        <v>0</v>
      </c>
    </row>
    <row r="28">
      <c r="A28" s="21" t="inlineStr">
        <is>
          <t>1 · CỐT LÕI — 6 huy hiệu (dữ liệu có sẵn, đo chắc)</t>
        </is>
      </c>
      <c r="B28" s="22" t="inlineStr">
        <is>
          <t>Bền Bỉ</t>
        </is>
      </c>
      <c r="C28" s="23" t="inlineStr">
        <is>
          <t>★2</t>
        </is>
      </c>
      <c r="D28" s="24" t="inlineStr">
        <is>
          <t>BB-2</t>
        </is>
      </c>
      <c r="E28" s="24" t="inlineStr">
        <is>
          <t>Tổng số ngày pass Thử thách ≥ 40 ngày</t>
        </is>
      </c>
      <c r="F28" s="25">
        <f>COUNTIF('Ma trận'!K$5:K$61,C28)</f>
        <v/>
      </c>
      <c r="G28" s="25" t="inlineStr">
        <is>
          <t>—</t>
        </is>
      </c>
      <c r="H28" s="25" t="n">
        <v>0</v>
      </c>
    </row>
    <row r="29">
      <c r="A29" s="21" t="inlineStr">
        <is>
          <t>1 · CỐT LÕI — 6 huy hiệu (dữ liệu có sẵn, đo chắc)</t>
        </is>
      </c>
      <c r="B29" s="22" t="inlineStr">
        <is>
          <t>Bền Bỉ</t>
        </is>
      </c>
      <c r="C29" s="23" t="inlineStr">
        <is>
          <t>★3</t>
        </is>
      </c>
      <c r="D29" s="24" t="inlineStr">
        <is>
          <t>BB-3</t>
        </is>
      </c>
      <c r="E29" s="24" t="inlineStr">
        <is>
          <t>Tổng số ngày pass Thử thách ≥ 100 ngày</t>
        </is>
      </c>
      <c r="F29" s="25">
        <f>COUNTIF('Ma trận'!K$5:K$61,C29)</f>
        <v/>
      </c>
      <c r="G29" s="25" t="inlineStr">
        <is>
          <t>—</t>
        </is>
      </c>
      <c r="H29" s="25" t="n">
        <v>100</v>
      </c>
    </row>
    <row r="30">
      <c r="A30" s="21" t="inlineStr">
        <is>
          <t>1 · CỐT LÕI — 6 huy hiệu (dữ liệu có sẵn, đo chắc)</t>
        </is>
      </c>
      <c r="B30" s="22" t="inlineStr">
        <is>
          <t>Bền Bỉ</t>
        </is>
      </c>
      <c r="C30" s="26" t="inlineStr">
        <is>
          <t>★4</t>
        </is>
      </c>
      <c r="D30" s="24" t="inlineStr">
        <is>
          <t>BB-4 + A2·1T</t>
        </is>
      </c>
      <c r="E30" s="24" t="inlineStr">
        <is>
          <t>Tổng số ngày pass Thử thách ≥ 150 ngày · VÀ trong 1 tháng: Nộp đủ, đúng hạn mọi BTVN</t>
        </is>
      </c>
      <c r="F30" s="25">
        <f>COUNTIF('Ma trận'!K$5:K$61,C30)</f>
        <v/>
      </c>
      <c r="G30" s="25" t="inlineStr">
        <is>
          <t>Có (GV trao)</t>
        </is>
      </c>
      <c r="H30" s="25" t="n">
        <v>200</v>
      </c>
    </row>
    <row r="31">
      <c r="A31" s="21" t="inlineStr">
        <is>
          <t>1 · CỐT LÕI — 6 huy hiệu (dữ liệu có sẵn, đo chắc)</t>
        </is>
      </c>
      <c r="B31" s="22" t="inlineStr">
        <is>
          <t>Bền Bỉ</t>
        </is>
      </c>
      <c r="C31" s="26" t="inlineStr">
        <is>
          <t>★5</t>
        </is>
      </c>
      <c r="D31" s="24" t="inlineStr">
        <is>
          <t>BB-5 + A1·3T + A2·3T + A4·3T</t>
        </is>
      </c>
      <c r="E31" s="24" t="inlineStr">
        <is>
          <t>Tổng số ngày pass Thử thách ≥ 250 ngày · VÀ 3 tháng liên tiếp: Đi học đủ mọi buổi (vắng thì đã học bù) · Nộp đủ, đúng hạn mọi BTVN · Tự luyện ≥ 200 câu đúng</t>
        </is>
      </c>
      <c r="F31" s="25">
        <f>COUNTIF('Ma trận'!K$5:K$61,C31)</f>
        <v/>
      </c>
      <c r="G31" s="25" t="inlineStr">
        <is>
          <t>Có (GV trao)</t>
        </is>
      </c>
      <c r="H31" s="25" t="n">
        <v>300</v>
      </c>
    </row>
    <row r="32">
      <c r="A32" s="27" t="inlineStr">
        <is>
          <t>2 · TUỲ CHỌN +2 (lên 8)</t>
        </is>
      </c>
      <c r="B32" s="28" t="inlineStr">
        <is>
          <t>Lấp Lỗ</t>
        </is>
      </c>
      <c r="C32" s="29" t="inlineStr">
        <is>
          <t>★1</t>
        </is>
      </c>
      <c r="D32" s="30" t="inlineStr">
        <is>
          <t>LL-1</t>
        </is>
      </c>
      <c r="E32" s="30" t="inlineStr">
        <is>
          <t>Số dạng từ yếu → đạt ≥ 1 dạng</t>
        </is>
      </c>
      <c r="F32" s="31">
        <f>COUNTIF('Ma trận'!L$5:L$61,C32)</f>
        <v/>
      </c>
      <c r="G32" s="31" t="inlineStr">
        <is>
          <t>—</t>
        </is>
      </c>
      <c r="H32" s="31" t="n">
        <v>0</v>
      </c>
    </row>
    <row r="33">
      <c r="A33" s="27" t="inlineStr">
        <is>
          <t>2 · TUỲ CHỌN +2 (lên 8)</t>
        </is>
      </c>
      <c r="B33" s="28" t="inlineStr">
        <is>
          <t>Lấp Lỗ</t>
        </is>
      </c>
      <c r="C33" s="29" t="inlineStr">
        <is>
          <t>★2</t>
        </is>
      </c>
      <c r="D33" s="30" t="inlineStr">
        <is>
          <t>LL-2</t>
        </is>
      </c>
      <c r="E33" s="30" t="inlineStr">
        <is>
          <t>Số dạng từ yếu → đạt ≥ 5 dạng</t>
        </is>
      </c>
      <c r="F33" s="31">
        <f>COUNTIF('Ma trận'!L$5:L$61,C33)</f>
        <v/>
      </c>
      <c r="G33" s="31" t="inlineStr">
        <is>
          <t>—</t>
        </is>
      </c>
      <c r="H33" s="31" t="n">
        <v>0</v>
      </c>
    </row>
    <row r="34">
      <c r="A34" s="27" t="inlineStr">
        <is>
          <t>2 · TUỲ CHỌN +2 (lên 8)</t>
        </is>
      </c>
      <c r="B34" s="28" t="inlineStr">
        <is>
          <t>Lấp Lỗ</t>
        </is>
      </c>
      <c r="C34" s="29" t="inlineStr">
        <is>
          <t>★3</t>
        </is>
      </c>
      <c r="D34" s="30" t="inlineStr">
        <is>
          <t>LL-3</t>
        </is>
      </c>
      <c r="E34" s="30" t="inlineStr">
        <is>
          <t>Số dạng từ yếu → đạt ≥ 15 dạng</t>
        </is>
      </c>
      <c r="F34" s="31">
        <f>COUNTIF('Ma trận'!L$5:L$61,C34)</f>
        <v/>
      </c>
      <c r="G34" s="31" t="inlineStr">
        <is>
          <t>—</t>
        </is>
      </c>
      <c r="H34" s="31" t="n">
        <v>100</v>
      </c>
    </row>
    <row r="35">
      <c r="A35" s="27" t="inlineStr">
        <is>
          <t>2 · TUỲ CHỌN +2 (lên 8)</t>
        </is>
      </c>
      <c r="B35" s="28" t="inlineStr">
        <is>
          <t>Lấp Lỗ</t>
        </is>
      </c>
      <c r="C35" s="32" t="inlineStr">
        <is>
          <t>★4</t>
        </is>
      </c>
      <c r="D35" s="30" t="inlineStr">
        <is>
          <t>LL-4 + A2·1T</t>
        </is>
      </c>
      <c r="E35" s="30" t="inlineStr">
        <is>
          <t>Số dạng từ yếu → đạt ≥ 25 dạng · VÀ trong 1 tháng: Nộp đủ, đúng hạn mọi BTVN</t>
        </is>
      </c>
      <c r="F35" s="31">
        <f>COUNTIF('Ma trận'!L$5:L$61,C35)</f>
        <v/>
      </c>
      <c r="G35" s="31" t="inlineStr">
        <is>
          <t>Có (GV trao)</t>
        </is>
      </c>
      <c r="H35" s="31" t="n">
        <v>200</v>
      </c>
    </row>
    <row r="36">
      <c r="A36" s="27" t="inlineStr">
        <is>
          <t>2 · TUỲ CHỌN +2 (lên 8)</t>
        </is>
      </c>
      <c r="B36" s="28" t="inlineStr">
        <is>
          <t>Lấp Lỗ</t>
        </is>
      </c>
      <c r="C36" s="32" t="inlineStr">
        <is>
          <t>★5</t>
        </is>
      </c>
      <c r="D36" s="30" t="inlineStr">
        <is>
          <t>LL-5 + A2·3T + A6·3T</t>
        </is>
      </c>
      <c r="E36" s="30" t="inlineStr">
        <is>
          <t>Số dạng từ yếu → đạt ≥ 40 dạng · VÀ 3 tháng liên tiếp: Nộp đủ, đúng hạn mọi BTVN · Pass Thử thách ≥ 15 ngày</t>
        </is>
      </c>
      <c r="F36" s="31">
        <f>COUNTIF('Ma trận'!L$5:L$61,C36)</f>
        <v/>
      </c>
      <c r="G36" s="31" t="inlineStr">
        <is>
          <t>Có (GV trao)</t>
        </is>
      </c>
      <c r="H36" s="31" t="n">
        <v>300</v>
      </c>
    </row>
    <row r="37">
      <c r="A37" s="27" t="inlineStr">
        <is>
          <t>2 · TUỲ CHỌN +2 (lên 8)</t>
        </is>
      </c>
      <c r="B37" s="28" t="inlineStr">
        <is>
          <t>Leo Rank</t>
        </is>
      </c>
      <c r="C37" s="29" t="inlineStr">
        <is>
          <t>★1</t>
        </is>
      </c>
      <c r="D37" s="30" t="inlineStr">
        <is>
          <t>LR-1</t>
        </is>
      </c>
      <c r="E37" s="30" t="inlineStr">
        <is>
          <t>Bậc rank cao nhất trong năm ≥ Captain</t>
        </is>
      </c>
      <c r="F37" s="31">
        <f>COUNTIF('Ma trận'!M$5:M$61,C37)</f>
        <v/>
      </c>
      <c r="G37" s="31" t="inlineStr">
        <is>
          <t>—</t>
        </is>
      </c>
      <c r="H37" s="31" t="n">
        <v>0</v>
      </c>
    </row>
    <row r="38">
      <c r="A38" s="27" t="inlineStr">
        <is>
          <t>2 · TUỲ CHỌN +2 (lên 8)</t>
        </is>
      </c>
      <c r="B38" s="28" t="inlineStr">
        <is>
          <t>Leo Rank</t>
        </is>
      </c>
      <c r="C38" s="29" t="inlineStr">
        <is>
          <t>★2</t>
        </is>
      </c>
      <c r="D38" s="30" t="inlineStr">
        <is>
          <t>LR-2</t>
        </is>
      </c>
      <c r="E38" s="30" t="inlineStr">
        <is>
          <t>Bậc rank cao nhất trong năm ≥ Hero</t>
        </is>
      </c>
      <c r="F38" s="31">
        <f>COUNTIF('Ma trận'!M$5:M$61,C38)</f>
        <v/>
      </c>
      <c r="G38" s="31" t="inlineStr">
        <is>
          <t>—</t>
        </is>
      </c>
      <c r="H38" s="31" t="n">
        <v>0</v>
      </c>
    </row>
    <row r="39">
      <c r="A39" s="27" t="inlineStr">
        <is>
          <t>2 · TUỲ CHỌN +2 (lên 8)</t>
        </is>
      </c>
      <c r="B39" s="28" t="inlineStr">
        <is>
          <t>Leo Rank</t>
        </is>
      </c>
      <c r="C39" s="29" t="inlineStr">
        <is>
          <t>★3</t>
        </is>
      </c>
      <c r="D39" s="30" t="inlineStr">
        <is>
          <t>LR-3</t>
        </is>
      </c>
      <c r="E39" s="30" t="inlineStr">
        <is>
          <t>Bậc rank cao nhất trong năm ≥ King</t>
        </is>
      </c>
      <c r="F39" s="31">
        <f>COUNTIF('Ma trận'!M$5:M$61,C39)</f>
        <v/>
      </c>
      <c r="G39" s="31" t="inlineStr">
        <is>
          <t>—</t>
        </is>
      </c>
      <c r="H39" s="31" t="n">
        <v>100</v>
      </c>
    </row>
    <row r="40">
      <c r="A40" s="27" t="inlineStr">
        <is>
          <t>2 · TUỲ CHỌN +2 (lên 8)</t>
        </is>
      </c>
      <c r="B40" s="28" t="inlineStr">
        <is>
          <t>Leo Rank</t>
        </is>
      </c>
      <c r="C40" s="32" t="inlineStr">
        <is>
          <t>★4</t>
        </is>
      </c>
      <c r="D40" s="30" t="inlineStr">
        <is>
          <t>LR-4</t>
        </is>
      </c>
      <c r="E40" s="30" t="inlineStr">
        <is>
          <t>Bậc rank cao nhất trong năm ≥ Emperor</t>
        </is>
      </c>
      <c r="F40" s="31">
        <f>COUNTIF('Ma trận'!M$5:M$61,C40)</f>
        <v/>
      </c>
      <c r="G40" s="31" t="inlineStr">
        <is>
          <t>Có (GV trao)</t>
        </is>
      </c>
      <c r="H40" s="31" t="n">
        <v>200</v>
      </c>
    </row>
    <row r="41">
      <c r="A41" s="27" t="inlineStr">
        <is>
          <t>2 · TUỲ CHỌN +2 (lên 8)</t>
        </is>
      </c>
      <c r="B41" s="28" t="inlineStr">
        <is>
          <t>Leo Rank</t>
        </is>
      </c>
      <c r="C41" s="32" t="inlineStr">
        <is>
          <t>★5</t>
        </is>
      </c>
      <c r="D41" s="30" t="inlineStr">
        <is>
          <t>LR-5</t>
        </is>
      </c>
      <c r="E41" s="30" t="inlineStr">
        <is>
          <t>Bậc rank cao nhất trong năm ≥ God of War</t>
        </is>
      </c>
      <c r="F41" s="31">
        <f>COUNTIF('Ma trận'!M$5:M$61,C41)</f>
        <v/>
      </c>
      <c r="G41" s="31" t="inlineStr">
        <is>
          <t>Có (GV trao)</t>
        </is>
      </c>
      <c r="H41" s="31" t="n">
        <v>300</v>
      </c>
    </row>
    <row r="43">
      <c r="B43" s="19" t="inlineStr">
        <is>
          <t>Tổng cấp huy hiệu</t>
        </is>
      </c>
      <c r="C43" s="19">
        <f>COUNTA(C2:C41)</f>
        <v/>
      </c>
    </row>
    <row r="44">
      <c r="B44" s="19" t="inlineStr">
        <is>
          <t>Cấp có bản cứng</t>
        </is>
      </c>
      <c r="C44" s="19">
        <f>COUNTIF(G2:G41,"Có (GV trao)")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33" t="inlineStr">
        <is>
          <t>MA TRẬN THÀNH TỰU × HUY HIỆU — môn TOÁN · PHASE 1 (nháp 4) · CTO 28/09/2026</t>
        </is>
      </c>
    </row>
    <row r="2">
      <c r="A2" s="34" t="inlineStr"/>
    </row>
    <row r="3">
      <c r="A3" s="35" t="inlineStr">
        <is>
          <t>Cách đọc</t>
        </is>
      </c>
    </row>
    <row r="4">
      <c r="A4" s="34" t="inlineStr">
        <is>
          <t>• Hàng = THÀNH TỰU: 1 điều kiện đo được trên dữ liệu thật (chỉ số + ngưỡng + kỳ xét).</t>
        </is>
      </c>
    </row>
    <row r="5">
      <c r="A5" s="34" t="inlineStr">
        <is>
          <t>• Cột = HUY HIỆU. PHASE 1 chỉ 6–8 huy hiệu (Thùy: nhiều quá bị ngợp): 6 CỐT LÕI + 2 TUỲ CHỌN. Ô ghi SAO nào của huy hiệu dùng thành tựu đó.</t>
        </is>
      </c>
    </row>
    <row r="6">
      <c r="A6" s="34" t="inlineStr">
        <is>
          <t>• Một cấp sao đạt khi đạt TẤT CẢ thành tựu mang nhãn sao đó trong cột. Liên kết N–N: 1 thành tựu nuôi nhiều huy hiệu (cột E), 1 huy hiệu dùng nhiều thành tựu.</t>
        </is>
      </c>
    </row>
    <row r="7">
      <c r="A7" s="34" t="inlineStr">
        <is>
          <t>• ★1–★3 = điều kiện đơn (bản mềm). ★4–★5 = nhiều điều kiện (bản mềm + bản cứng GV trao) — ô nền vàng chữ đỏ.</t>
        </is>
      </c>
    </row>
    <row r="8">
      <c r="A8" s="34" t="inlineStr"/>
    </row>
    <row r="9">
      <c r="A9" s="35" t="inlineStr">
        <is>
          <t>Cách sửa</t>
        </is>
      </c>
    </row>
    <row r="10">
      <c r="A10" s="34" t="inlineStr">
        <is>
          <t>• Đổi điều kiện của 1 cấp: gõ / xoá nhãn ★n trong ô của cột huy hiệu đó (sheet Huy hiệu tự đếm lại cột 'Số điều kiện').</t>
        </is>
      </c>
    </row>
    <row r="11">
      <c r="A11" s="34" t="inlineStr">
        <is>
          <t>• Đổi ngưỡng: sửa chữ ở cột B của thành tựu tương ứng.</t>
        </is>
      </c>
    </row>
    <row r="12">
      <c r="A12" s="34" t="inlineStr">
        <is>
          <t>• Ví dụ: muốn Không Nghỉ ★5 thêm điều kiện 'MT top 30%' ⇒ gõ ★5 vào ô hàng B2·3T (nếu chưa có hàng thì thêm hàng) × cột Không Nghỉ.</t>
        </is>
      </c>
    </row>
    <row r="13">
      <c r="A13" s="34" t="inlineStr"/>
    </row>
    <row r="14">
      <c r="A14" s="35" t="inlineStr">
        <is>
          <t>Giả định chưa chốt</t>
        </is>
      </c>
    </row>
    <row r="15">
      <c r="A15" s="34" t="inlineStr">
        <is>
          <t>• H7: ★4 = trong tháng vượt ngưỡng chính phải đạt đủ thành tựu phụ '·1T'. ★5 = các thành tựu phụ '·3T' đạt CÙNG 1 cửa sổ 3 tháng liên tiếp.</t>
        </is>
      </c>
    </row>
    <row r="16">
      <c r="A16" s="34" t="inlineStr">
        <is>
          <t>• H8: đạt lại ⇒ bản mềm ghi ×2, ×3; bản cứng chỉ trao lần đầu.</t>
        </is>
      </c>
    </row>
    <row r="17">
      <c r="A17" s="34" t="inlineStr">
        <is>
          <t>• Mọi ngưỡng là NHÁP, dựa số đo DB 28/09: Toán mỗi em/tháng ~5–6 buổi · ~5 ET · ~5 BTVN · 1 MT. Sẽ mô phỏng số bản cứng/tháng trước khi chốt.</t>
        </is>
      </c>
    </row>
    <row r="18">
      <c r="A18" s="34" t="inlineStr">
        <is>
          <t>• EXP thưởng (thứ yếu, trần 5 xu/tháng/môn): ★3 = 100 · ★4 = 200 · ★5 = 300 EXP.</t>
        </is>
      </c>
    </row>
    <row r="19">
      <c r="A19" s="34" t="inlineStr">
        <is>
          <t>• Bản cứng: 1 phôi / huy hiệu (6–8 phôi), ★4 / ★5 phân biệt bằng tấm sao gắn thêm hoặc màu viền.</t>
        </is>
      </c>
    </row>
    <row r="20">
      <c r="A20" s="34" t="inlineStr">
        <is>
          <t>• Phase sau (khi HS đã quen): mở dần các huy hiệu còn lại trong bản đầy đủ — xem de-xuat-huy-hieu.md.</t>
        </is>
      </c>
    </row>
    <row r="21">
      <c r="A21" s="34" t="inlineStr"/>
    </row>
    <row r="22">
      <c r="A22" s="34" t="inlineStr">
        <is>
          <t>Nguồn: spec-thanh-tuu-nhiem-vu.md (A5) · de-xuat-huy-hieu.md · số đo DB chỉ đọc 28/09/2026.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2026-09-28T07:22:33Z</dcterms:created>
  <dcterms:modified xsi:type="dcterms:W3CDTF">2026-09-28T07:22:33Z</dcterms:modified>
</cp:coreProperties>
</file>