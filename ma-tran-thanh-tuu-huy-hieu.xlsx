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 trận" sheetId="1" state="visible" r:id="rId1"/>
    <sheet name="Thang sao" sheetId="2" state="visible" r:id="rId2"/>
    <sheet name="Huy hiệu" sheetId="3" state="visible" r:id="rId3"/>
    <sheet name="Ghi chú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b val="1"/>
      <color rgb="001F3864"/>
    </font>
    <font>
      <name val="Arial"/>
      <i val="1"/>
      <sz val="9"/>
    </font>
    <font>
      <name val="Arial"/>
      <b val="1"/>
      <sz val="10"/>
    </font>
    <font>
      <name val="Arial"/>
      <sz val="10"/>
    </font>
    <font>
      <name val="Arial"/>
      <b val="1"/>
    </font>
    <font>
      <name val="Arial"/>
      <b val="1"/>
      <color rgb="00C00000"/>
    </font>
    <font>
      <name val="Arial"/>
      <b val="1"/>
      <sz val="11"/>
    </font>
    <font>
      <name val="Arial"/>
      <sz val="11"/>
    </font>
    <font>
      <name val="Arial"/>
      <b val="1"/>
      <color rgb="00C00000"/>
      <sz val="11"/>
    </font>
    <font>
      <name val="Arial"/>
      <b val="1"/>
      <color rgb="00C00000"/>
      <sz val="10"/>
    </font>
    <font>
      <name val="Arial"/>
      <b val="1"/>
      <sz val="12"/>
    </font>
  </fonts>
  <fills count="11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F8CBAD"/>
      </patternFill>
    </fill>
    <fill>
      <patternFill patternType="solid">
        <fgColor rgb="00EDE7F6"/>
      </patternFill>
    </fill>
    <fill>
      <patternFill patternType="solid">
        <fgColor rgb="00E0F2F1"/>
      </patternFill>
    </fill>
    <fill>
      <patternFill patternType="solid">
        <fgColor rgb="00FDE9EF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2" fillId="10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0" fontId="3" fillId="1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center"/>
    </xf>
    <xf numFmtId="0" fontId="5" fillId="0" borderId="1" applyAlignment="1" pivotButton="0" quotePrefix="0" xfId="0">
      <alignment vertical="center" wrapText="1"/>
    </xf>
    <xf numFmtId="0" fontId="5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6" fillId="0" borderId="0" pivotButton="0" quotePrefix="0" xfId="0"/>
    <xf numFmtId="0" fontId="3" fillId="0" borderId="0" pivotButton="0" quotePrefix="0" xfId="0"/>
    <xf numFmtId="0" fontId="8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vertical="center"/>
    </xf>
    <xf numFmtId="0" fontId="10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0" fontId="5" fillId="3" borderId="1" applyAlignment="1" pivotButton="0" quotePrefix="0" xfId="0">
      <alignment vertical="center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center"/>
    </xf>
    <xf numFmtId="0" fontId="5" fillId="3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vertical="center"/>
    </xf>
    <xf numFmtId="0" fontId="5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vertical="center"/>
    </xf>
    <xf numFmtId="0" fontId="5" fillId="4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vertical="center"/>
    </xf>
    <xf numFmtId="0" fontId="5" fillId="5" borderId="1" applyAlignment="1" pivotButton="0" quotePrefix="0" xfId="0">
      <alignment vertical="center" wrapTex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vertical="center"/>
    </xf>
    <xf numFmtId="0" fontId="5" fillId="5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vertical="center"/>
    </xf>
    <xf numFmtId="0" fontId="5" fillId="6" borderId="1" applyAlignment="1" pivotButton="0" quotePrefix="0" xfId="0">
      <alignment vertical="center" wrapText="1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vertical="center"/>
    </xf>
    <xf numFmtId="0" fontId="5" fillId="6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vertical="center"/>
    </xf>
    <xf numFmtId="0" fontId="5" fillId="7" borderId="1" applyAlignment="1" pivotButton="0" quotePrefix="0" xfId="0">
      <alignment vertical="center" wrapText="1"/>
    </xf>
    <xf numFmtId="0" fontId="4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vertical="center"/>
    </xf>
    <xf numFmtId="0" fontId="5" fillId="7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4" fillId="8" borderId="1" applyAlignment="1" pivotButton="0" quotePrefix="0" xfId="0">
      <alignment vertical="center"/>
    </xf>
    <xf numFmtId="0" fontId="5" fillId="8" borderId="1" applyAlignment="1" pivotButton="0" quotePrefix="0" xfId="0">
      <alignment vertical="center" wrapTex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vertical="center"/>
    </xf>
    <xf numFmtId="0" fontId="5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4" fillId="9" borderId="1" applyAlignment="1" pivotButton="0" quotePrefix="0" xfId="0">
      <alignment vertical="center"/>
    </xf>
    <xf numFmtId="0" fontId="5" fillId="9" borderId="1" applyAlignment="1" pivotButton="0" quotePrefix="0" xfId="0">
      <alignment vertical="center" wrapText="1"/>
    </xf>
    <xf numFmtId="0" fontId="4" fillId="9" borderId="1" applyAlignment="1" pivotButton="0" quotePrefix="0" xfId="0">
      <alignment horizontal="center" vertical="center"/>
    </xf>
    <xf numFmtId="0" fontId="5" fillId="9" borderId="1" applyAlignment="1" pivotButton="0" quotePrefix="0" xfId="0">
      <alignment vertical="center"/>
    </xf>
    <xf numFmtId="0" fontId="5" fillId="9" borderId="1" applyAlignment="1" pivotButton="0" quotePrefix="0" xfId="0">
      <alignment horizontal="center" vertical="center"/>
    </xf>
    <xf numFmtId="0" fontId="11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vertical="center"/>
    </xf>
    <xf numFmtId="0" fontId="5" fillId="10" borderId="1" applyAlignment="1" pivotButton="0" quotePrefix="0" xfId="0">
      <alignment vertical="center" wrapText="1"/>
    </xf>
    <xf numFmtId="0" fontId="4" fillId="10" borderId="1" applyAlignment="1" pivotButton="0" quotePrefix="0" xfId="0">
      <alignment horizontal="center" vertical="center"/>
    </xf>
    <xf numFmtId="0" fontId="5" fillId="10" borderId="1" applyAlignment="1" pivotButton="0" quotePrefix="0" xfId="0">
      <alignment vertical="center"/>
    </xf>
    <xf numFmtId="0" fontId="5" fillId="10" borderId="1" applyAlignment="1" pivotButton="0" quotePrefix="0" xfId="0">
      <alignment horizontal="center" vertical="center"/>
    </xf>
    <xf numFmtId="0" fontId="11" fillId="10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/>
    </xf>
    <xf numFmtId="0" fontId="12" fillId="0" borderId="0" pivotButton="0" quotePrefix="0" xfId="0"/>
    <xf numFmtId="0" fontId="5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CTO</author>
  </authors>
  <commentList>
    <comment ref="B1" authorId="0" shapeId="0">
      <text>
        <t>★1–5 = điều kiện CHUẨN của huy hiệu (tháng đạt chuẩn — dùng cho mọi sao). ★4–5 = điều kiện THÊM: tháng HOÀN HẢO = đạt chuẩn + đủ mọi ô ★4–5 trong cột.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9"/>
  <sheetViews>
    <sheetView workbookViewId="0">
      <pane xSplit="5" ySplit="2" topLeftCell="F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30" customWidth="1" min="3" max="3"/>
    <col width="16" customWidth="1" min="4" max="4"/>
    <col width="10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Mã</t>
        </is>
      </c>
      <c r="B1" s="1" t="inlineStr">
        <is>
          <t>Thành tựu (điều kiện xét trong 1 tháng)</t>
        </is>
      </c>
      <c r="C1" s="1" t="inlineStr">
        <is>
          <t>Nguồn dữ liệu</t>
        </is>
      </c>
      <c r="D1" s="1" t="inlineStr">
        <is>
          <t>Tỉ lệ HS-tháng đạt (DB thật, Toán)</t>
        </is>
      </c>
      <c r="E1" s="1" t="inlineStr">
        <is>
          <t>Số huy hiệu dùng</t>
        </is>
      </c>
      <c r="F1" s="2" t="inlineStr">
        <is>
          <t>Helios</t>
        </is>
      </c>
      <c r="G1" s="3" t="inlineStr">
        <is>
          <t>Chronos</t>
        </is>
      </c>
      <c r="H1" s="4" t="inlineStr">
        <is>
          <t>Athena</t>
        </is>
      </c>
      <c r="I1" s="5" t="inlineStr">
        <is>
          <t>Zeus</t>
        </is>
      </c>
      <c r="J1" s="6" t="inlineStr">
        <is>
          <t>Phoenix</t>
        </is>
      </c>
      <c r="K1" s="7" t="inlineStr">
        <is>
          <t>Hercules</t>
        </is>
      </c>
      <c r="L1" s="8" t="inlineStr">
        <is>
          <t>Hephaestus</t>
        </is>
      </c>
      <c r="M1" s="9" t="inlineStr">
        <is>
          <t>Nike</t>
        </is>
      </c>
    </row>
    <row r="2" ht="42" customHeight="1">
      <c r="A2" s="10" t="n"/>
      <c r="B2" s="10" t="n"/>
      <c r="C2" s="10" t="n"/>
      <c r="D2" s="10" t="n"/>
      <c r="E2" s="10" t="n"/>
      <c r="F2" s="11" t="inlineStr">
        <is>
          <t>Chuyên cần — đi học không nghỉ</t>
        </is>
      </c>
      <c r="G2" s="12" t="inlineStr">
        <is>
          <t>Nộp BTVN đủ, đúng hạn</t>
        </is>
      </c>
      <c r="H2" s="13" t="inlineStr">
        <is>
          <t>Làm tốt bài ET trên lớp</t>
        </is>
      </c>
      <c r="I2" s="14" t="inlineStr">
        <is>
          <t>MT top khối</t>
        </is>
      </c>
      <c r="J2" s="15" t="inlineStr">
        <is>
          <t>Hạng MT bứt phá so với đầu năm</t>
        </is>
      </c>
      <c r="K2" s="16" t="inlineStr">
        <is>
          <t>Vượt Thử thách mỗi ngày</t>
        </is>
      </c>
      <c r="L2" s="17" t="inlineStr">
        <is>
          <t>Lấp lỗ: dạng yếu → đạt</t>
        </is>
      </c>
      <c r="M2" s="18" t="inlineStr">
        <is>
          <t>Top Bảng đua tháng</t>
        </is>
      </c>
    </row>
    <row r="3">
      <c r="A3" s="19" t="inlineStr">
        <is>
          <t>A1</t>
        </is>
      </c>
      <c r="B3" s="20" t="inlineStr">
        <is>
          <t>Không vắng buổi nào trong tháng</t>
        </is>
      </c>
      <c r="C3" s="20" t="inlineStr">
        <is>
          <t>buoi_hoc_hs.diem_danh</t>
        </is>
      </c>
      <c r="D3" s="21" t="inlineStr">
        <is>
          <t>48–72% (T7–T9)</t>
        </is>
      </c>
      <c r="E3" s="22">
        <f>COUNTA(F3:M3)</f>
        <v/>
      </c>
      <c r="F3" s="23" t="inlineStr">
        <is>
          <t>★1–5</t>
        </is>
      </c>
      <c r="G3" s="24" t="inlineStr">
        <is>
          <t>★4–5</t>
        </is>
      </c>
      <c r="H3" s="25" t="n"/>
      <c r="I3" s="25" t="n"/>
      <c r="J3" s="24" t="inlineStr">
        <is>
          <t>★4–5</t>
        </is>
      </c>
      <c r="K3" s="25" t="n"/>
      <c r="L3" s="25" t="n"/>
      <c r="M3" s="24" t="inlineStr">
        <is>
          <t>★4–5</t>
        </is>
      </c>
    </row>
    <row r="4">
      <c r="A4" s="19" t="inlineStr">
        <is>
          <t>A2</t>
        </is>
      </c>
      <c r="B4" s="20" t="inlineStr">
        <is>
          <t>Nộp đủ, đúng hạn mọi bài BTVN trong tháng</t>
        </is>
      </c>
      <c r="C4" s="20" t="inlineStr">
        <is>
          <t>btvn_ket_qua.trang_thai_nop</t>
        </is>
      </c>
      <c r="D4" s="21" t="inlineStr">
        <is>
          <t>43–51%</t>
        </is>
      </c>
      <c r="E4" s="22">
        <f>COUNTA(F4:M4)</f>
        <v/>
      </c>
      <c r="F4" s="24" t="inlineStr">
        <is>
          <t>★4–5</t>
        </is>
      </c>
      <c r="G4" s="23" t="inlineStr">
        <is>
          <t>★1–5</t>
        </is>
      </c>
      <c r="H4" s="24" t="inlineStr">
        <is>
          <t>★4–5</t>
        </is>
      </c>
      <c r="I4" s="25" t="n"/>
      <c r="J4" s="24" t="inlineStr">
        <is>
          <t>★4–5</t>
        </is>
      </c>
      <c r="K4" s="24" t="inlineStr">
        <is>
          <t>★4–5</t>
        </is>
      </c>
      <c r="L4" s="24" t="inlineStr">
        <is>
          <t>★4–5</t>
        </is>
      </c>
      <c r="M4" s="24" t="inlineStr">
        <is>
          <t>★4–5</t>
        </is>
      </c>
    </row>
    <row r="5">
      <c r="A5" s="19" t="inlineStr">
        <is>
          <t>A4</t>
        </is>
      </c>
      <c r="B5" s="20" t="inlineStr">
        <is>
          <t>Tự luyện ≥ 200 câu đúng trong tháng</t>
        </is>
      </c>
      <c r="C5" s="20" t="inlineStr">
        <is>
          <t>bai_lam_cau (bài app)</t>
        </is>
      </c>
      <c r="D5" s="21" t="inlineStr">
        <is>
          <t>—</t>
        </is>
      </c>
      <c r="E5" s="22">
        <f>COUNTA(F5:M5)</f>
        <v/>
      </c>
      <c r="F5" s="25" t="n"/>
      <c r="G5" s="24" t="inlineStr">
        <is>
          <t>★4–5</t>
        </is>
      </c>
      <c r="H5" s="25" t="n"/>
      <c r="I5" s="25" t="n"/>
      <c r="J5" s="25" t="n"/>
      <c r="K5" s="25" t="n"/>
      <c r="L5" s="25" t="n"/>
      <c r="M5" s="25" t="n"/>
    </row>
    <row r="6">
      <c r="A6" s="19" t="inlineStr">
        <is>
          <t>A5</t>
        </is>
      </c>
      <c r="B6" s="20" t="inlineStr">
        <is>
          <t>Pass Thử thách ≥ 10 ngày trong tháng</t>
        </is>
      </c>
      <c r="C6" s="20" t="inlineStr">
        <is>
          <t>lượt Thử thách</t>
        </is>
      </c>
      <c r="D6" s="21" t="inlineStr">
        <is>
          <t>tính năng mới</t>
        </is>
      </c>
      <c r="E6" s="22">
        <f>COUNTA(F6:M6)</f>
        <v/>
      </c>
      <c r="F6" s="25" t="n"/>
      <c r="G6" s="25" t="n"/>
      <c r="H6" s="25" t="n"/>
      <c r="I6" s="25" t="n"/>
      <c r="J6" s="25" t="n"/>
      <c r="K6" s="23" t="inlineStr">
        <is>
          <t>★1–5</t>
        </is>
      </c>
      <c r="L6" s="24" t="inlineStr">
        <is>
          <t>★4–5</t>
        </is>
      </c>
      <c r="M6" s="25" t="n"/>
    </row>
    <row r="7">
      <c r="A7" s="19" t="inlineStr">
        <is>
          <t>A6</t>
        </is>
      </c>
      <c r="B7" s="20" t="inlineStr">
        <is>
          <t>Pass Thử thách ≥ 15 ngày trong tháng</t>
        </is>
      </c>
      <c r="C7" s="20" t="inlineStr">
        <is>
          <t>lượt Thử thách</t>
        </is>
      </c>
      <c r="D7" s="21" t="inlineStr">
        <is>
          <t>tính năng mới</t>
        </is>
      </c>
      <c r="E7" s="22">
        <f>COUNTA(F7:M7)</f>
        <v/>
      </c>
      <c r="F7" s="24" t="inlineStr">
        <is>
          <t>★4–5</t>
        </is>
      </c>
      <c r="G7" s="25" t="n"/>
      <c r="H7" s="25" t="n"/>
      <c r="I7" s="25" t="n"/>
      <c r="J7" s="25" t="n"/>
      <c r="K7" s="24" t="inlineStr">
        <is>
          <t>★4–5</t>
        </is>
      </c>
      <c r="L7" s="25" t="n"/>
      <c r="M7" s="25" t="n"/>
    </row>
    <row r="8">
      <c r="A8" s="19" t="inlineStr">
        <is>
          <t>B1</t>
        </is>
      </c>
      <c r="B8" s="20" t="inlineStr">
        <is>
          <t>ET đúng ≥ 80% ở ≥ 3/4 số bài ET trong tháng</t>
        </is>
      </c>
      <c r="C8" s="20" t="inlineStr">
        <is>
          <t>gami_grades (phase et)</t>
        </is>
      </c>
      <c r="D8" s="21" t="inlineStr">
        <is>
          <t>41–46%</t>
        </is>
      </c>
      <c r="E8" s="22">
        <f>COUNTA(F8:M8)</f>
        <v/>
      </c>
      <c r="F8" s="25" t="n"/>
      <c r="G8" s="25" t="n"/>
      <c r="H8" s="23" t="inlineStr">
        <is>
          <t>★1–5</t>
        </is>
      </c>
      <c r="I8" s="24" t="inlineStr">
        <is>
          <t>★4–5</t>
        </is>
      </c>
      <c r="J8" s="25" t="n"/>
      <c r="K8" s="25" t="n"/>
      <c r="L8" s="25" t="n"/>
      <c r="M8" s="25" t="n"/>
    </row>
    <row r="9">
      <c r="A9" s="19" t="inlineStr">
        <is>
          <t>B2</t>
        </is>
      </c>
      <c r="B9" s="20" t="inlineStr">
        <is>
          <t>MT tháng top 30% khối</t>
        </is>
      </c>
      <c r="C9" s="20" t="inlineStr">
        <is>
          <t>fn_bxh_diem_mt_khoi (quy hạng theo sĩ số)</t>
        </is>
      </c>
      <c r="D9" s="21" t="inlineStr">
        <is>
          <t>30% theo định nghĩa</t>
        </is>
      </c>
      <c r="E9" s="22">
        <f>COUNTA(F9:M9)</f>
        <v/>
      </c>
      <c r="F9" s="25" t="n"/>
      <c r="G9" s="25" t="n"/>
      <c r="H9" s="25" t="n"/>
      <c r="I9" s="23" t="inlineStr">
        <is>
          <t>★1–5</t>
        </is>
      </c>
      <c r="J9" s="25" t="n"/>
      <c r="K9" s="25" t="n"/>
      <c r="L9" s="25" t="n"/>
      <c r="M9" s="25" t="n"/>
    </row>
    <row r="10">
      <c r="A10" s="19" t="inlineStr">
        <is>
          <t>B4</t>
        </is>
      </c>
      <c r="B10" s="20" t="inlineStr">
        <is>
          <t>BTVN đúng trung bình ≥ 85% trong tháng</t>
        </is>
      </c>
      <c r="C10" s="20" t="inlineStr">
        <is>
          <t>btvn_ket_qua.ti_le_dung</t>
        </is>
      </c>
      <c r="D10" s="21" t="inlineStr">
        <is>
          <t>—</t>
        </is>
      </c>
      <c r="E10" s="22">
        <f>COUNTA(F10:M10)</f>
        <v/>
      </c>
      <c r="F10" s="25" t="n"/>
      <c r="G10" s="25" t="n"/>
      <c r="H10" s="24" t="inlineStr">
        <is>
          <t>★4–5</t>
        </is>
      </c>
      <c r="I10" s="25" t="n"/>
      <c r="J10" s="25" t="n"/>
      <c r="K10" s="25" t="n"/>
      <c r="L10" s="25" t="n"/>
      <c r="M10" s="25" t="n"/>
    </row>
    <row r="11">
      <c r="A11" s="19" t="inlineStr">
        <is>
          <t>B5</t>
        </is>
      </c>
      <c r="B11" s="20" t="inlineStr">
        <is>
          <t>BTVN đúng trung bình ≥ 90% trong tháng</t>
        </is>
      </c>
      <c r="C11" s="20" t="inlineStr">
        <is>
          <t>btvn_ket_qua.ti_le_dung</t>
        </is>
      </c>
      <c r="D11" s="21" t="inlineStr">
        <is>
          <t>—</t>
        </is>
      </c>
      <c r="E11" s="22">
        <f>COUNTA(F11:M11)</f>
        <v/>
      </c>
      <c r="F11" s="25" t="n"/>
      <c r="G11" s="25" t="n"/>
      <c r="H11" s="25" t="n"/>
      <c r="I11" s="24" t="inlineStr">
        <is>
          <t>★4–5</t>
        </is>
      </c>
      <c r="J11" s="25" t="n"/>
      <c r="K11" s="25" t="n"/>
      <c r="L11" s="25" t="n"/>
      <c r="M11" s="25" t="n"/>
    </row>
    <row r="12">
      <c r="A12" s="19" t="inlineStr">
        <is>
          <t>B6</t>
        </is>
      </c>
      <c r="B12" s="20" t="inlineStr">
        <is>
          <t>≥ 5 lượt Thử thách 10/10 trong tháng</t>
        </is>
      </c>
      <c r="C12" s="20" t="inlineStr">
        <is>
          <t>lượt Thử thách</t>
        </is>
      </c>
      <c r="D12" s="21" t="inlineStr">
        <is>
          <t>tính năng mới</t>
        </is>
      </c>
      <c r="E12" s="22">
        <f>COUNTA(F12:M12)</f>
        <v/>
      </c>
      <c r="F12" s="25" t="n"/>
      <c r="G12" s="25" t="n"/>
      <c r="H12" s="25" t="n"/>
      <c r="I12" s="25" t="n"/>
      <c r="J12" s="25" t="n"/>
      <c r="K12" s="24" t="inlineStr">
        <is>
          <t>★4–5</t>
        </is>
      </c>
      <c r="L12" s="25" t="n"/>
      <c r="M12" s="25" t="n"/>
    </row>
    <row r="13">
      <c r="A13" s="19" t="inlineStr">
        <is>
          <t>P1</t>
        </is>
      </c>
      <c r="B13" s="20" t="inlineStr">
        <is>
          <t>Hạng MT tháng TỐT HƠN hạng tháng đầu năm học (hoặc giữ top 10%)</t>
        </is>
      </c>
      <c r="C13" s="20" t="inlineStr">
        <is>
          <t>fn_bxh_diem_mt_khoi</t>
        </is>
      </c>
      <c r="D13" s="21" t="inlineStr">
        <is>
          <t>—</t>
        </is>
      </c>
      <c r="E13" s="22">
        <f>COUNTA(F13:M13)</f>
        <v/>
      </c>
      <c r="F13" s="25" t="n"/>
      <c r="G13" s="25" t="n"/>
      <c r="H13" s="25" t="n"/>
      <c r="I13" s="25" t="n"/>
      <c r="J13" s="23" t="inlineStr">
        <is>
          <t>★1–5</t>
        </is>
      </c>
      <c r="K13" s="25" t="n"/>
      <c r="L13" s="25" t="n"/>
      <c r="M13" s="25" t="n"/>
    </row>
    <row r="14">
      <c r="A14" s="19" t="inlineStr">
        <is>
          <t>C3</t>
        </is>
      </c>
      <c r="B14" s="20" t="inlineStr">
        <is>
          <t>Lấp ≥ 1 lỗ (dạng yếu → đạt) trong tháng — hoặc không còn dạng yếu</t>
        </is>
      </c>
      <c r="C14" s="20" t="inlineStr">
        <is>
          <t>fn_mastery_cells</t>
        </is>
      </c>
      <c r="D14" s="21" t="inlineStr">
        <is>
          <t>—</t>
        </is>
      </c>
      <c r="E14" s="22">
        <f>COUNTA(F14:M14)</f>
        <v/>
      </c>
      <c r="F14" s="25" t="n"/>
      <c r="G14" s="25" t="n"/>
      <c r="H14" s="25" t="n"/>
      <c r="I14" s="25" t="n"/>
      <c r="J14" s="25" t="n"/>
      <c r="K14" s="25" t="n"/>
      <c r="L14" s="23" t="inlineStr">
        <is>
          <t>★1–5</t>
        </is>
      </c>
      <c r="M14" s="25" t="n"/>
    </row>
    <row r="15">
      <c r="A15" s="19" t="inlineStr">
        <is>
          <t>D30</t>
        </is>
      </c>
      <c r="B15" s="20" t="inlineStr">
        <is>
          <t>Top 30% Bảng đua tháng (khối)</t>
        </is>
      </c>
      <c r="C15" s="20" t="inlineStr">
        <is>
          <t>Điểm Rank tháng</t>
        </is>
      </c>
      <c r="D15" s="21" t="inlineStr">
        <is>
          <t>30% theo định nghĩa</t>
        </is>
      </c>
      <c r="E15" s="22">
        <f>COUNTA(F15:M15)</f>
        <v/>
      </c>
      <c r="F15" s="25" t="n"/>
      <c r="G15" s="25" t="n"/>
      <c r="H15" s="25" t="n"/>
      <c r="I15" s="25" t="n"/>
      <c r="J15" s="25" t="n"/>
      <c r="K15" s="25" t="n"/>
      <c r="L15" s="25" t="n"/>
      <c r="M15" s="23" t="inlineStr">
        <is>
          <t>★1–5</t>
        </is>
      </c>
    </row>
    <row r="16">
      <c r="A16" s="19" t="inlineStr">
        <is>
          <t>D10</t>
        </is>
      </c>
      <c r="B16" s="20" t="inlineStr">
        <is>
          <t>Top 10% Bảng đua tháng (khối)</t>
        </is>
      </c>
      <c r="C16" s="20" t="inlineStr">
        <is>
          <t>Điểm Rank tháng</t>
        </is>
      </c>
      <c r="D16" s="21" t="inlineStr">
        <is>
          <t>10% theo định nghĩa</t>
        </is>
      </c>
      <c r="E16" s="22">
        <f>COUNTA(F16:M16)</f>
        <v/>
      </c>
      <c r="F16" s="25" t="n"/>
      <c r="G16" s="25" t="n"/>
      <c r="H16" s="25" t="n"/>
      <c r="I16" s="25" t="n"/>
      <c r="J16" s="25" t="n"/>
      <c r="K16" s="25" t="n"/>
      <c r="L16" s="25" t="n"/>
      <c r="M16" s="24" t="inlineStr">
        <is>
          <t>★4–5</t>
        </is>
      </c>
    </row>
    <row r="17">
      <c r="B17" s="26" t="inlineStr">
        <is>
          <t>Số điều kiện của tháng hoàn hảo (★4–5)</t>
        </is>
      </c>
      <c r="F17" s="22">
        <f>COUNTA(F3:F16)</f>
        <v/>
      </c>
      <c r="G17" s="22">
        <f>COUNTA(G3:G16)</f>
        <v/>
      </c>
      <c r="H17" s="22">
        <f>COUNTA(H3:H16)</f>
        <v/>
      </c>
      <c r="I17" s="22">
        <f>COUNTA(I3:I16)</f>
        <v/>
      </c>
      <c r="J17" s="22">
        <f>COUNTA(J3:J16)</f>
        <v/>
      </c>
      <c r="K17" s="22">
        <f>COUNTA(K3:K16)</f>
        <v/>
      </c>
      <c r="L17" s="22">
        <f>COUNTA(L3:L16)</f>
        <v/>
      </c>
      <c r="M17" s="22">
        <f>COUNTA(M3:M16)</f>
        <v/>
      </c>
    </row>
    <row r="19">
      <c r="B19" s="27" t="inlineStr">
        <is>
          <t>Chú thích: ★1–5 = điều kiện chuẩn (đếm tháng cho 1–3★, và là 1 phần của tháng hoàn hảo) · ★4–5 = điều kiện thêm, chỉ để tính tháng hoàn hảo</t>
        </is>
      </c>
    </row>
  </sheetData>
  <mergeCells count="5">
    <mergeCell ref="C1:C2"/>
    <mergeCell ref="B1:B2"/>
    <mergeCell ref="D1:D2"/>
    <mergeCell ref="E1:E2"/>
    <mergeCell ref="A1:A2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8" customWidth="1" min="1" max="1"/>
    <col width="30" customWidth="1" min="2" max="2"/>
    <col width="34" customWidth="1" min="3" max="3"/>
    <col width="30" customWidth="1" min="4" max="4"/>
    <col width="12" customWidth="1" min="5" max="5"/>
  </cols>
  <sheetData>
    <row r="1">
      <c r="A1" s="1" t="inlineStr">
        <is>
          <t>Sao</t>
        </is>
      </c>
      <c r="B1" s="1" t="inlineStr">
        <is>
          <t>Cần (trong 1 năm học 10 tháng)</t>
        </is>
      </c>
      <c r="C1" s="1" t="inlineStr">
        <is>
          <t>Loại tháng được đếm</t>
        </is>
      </c>
      <c r="D1" s="1" t="inlineStr">
        <is>
          <t>Dạng</t>
        </is>
      </c>
      <c r="E1" s="1" t="inlineStr">
        <is>
          <t>EXP thưởng</t>
        </is>
      </c>
    </row>
    <row r="2">
      <c r="A2" s="28" t="inlineStr">
        <is>
          <t>★1</t>
        </is>
      </c>
      <c r="B2" s="29" t="inlineStr">
        <is>
          <t>1 tháng</t>
        </is>
      </c>
      <c r="C2" s="30" t="inlineStr">
        <is>
          <t>tháng ĐẠT CHUẨN (1 điều kiện)</t>
        </is>
      </c>
      <c r="D2" s="30" t="inlineStr">
        <is>
          <t>Bản mềm</t>
        </is>
      </c>
      <c r="E2" s="29" t="n">
        <v>0</v>
      </c>
    </row>
    <row r="3">
      <c r="A3" s="28" t="inlineStr">
        <is>
          <t>★2</t>
        </is>
      </c>
      <c r="B3" s="29" t="inlineStr">
        <is>
          <t>2 tháng</t>
        </is>
      </c>
      <c r="C3" s="30" t="inlineStr">
        <is>
          <t>tháng ĐẠT CHUẨN</t>
        </is>
      </c>
      <c r="D3" s="30" t="inlineStr">
        <is>
          <t>Bản mềm</t>
        </is>
      </c>
      <c r="E3" s="29" t="n">
        <v>0</v>
      </c>
    </row>
    <row r="4">
      <c r="A4" s="28" t="inlineStr">
        <is>
          <t>★3</t>
        </is>
      </c>
      <c r="B4" s="29" t="inlineStr">
        <is>
          <t>4 tháng</t>
        </is>
      </c>
      <c r="C4" s="30" t="inlineStr">
        <is>
          <t>tháng ĐẠT CHUẨN</t>
        </is>
      </c>
      <c r="D4" s="30" t="inlineStr">
        <is>
          <t>Bản mềm</t>
        </is>
      </c>
      <c r="E4" s="29" t="n">
        <v>100</v>
      </c>
    </row>
    <row r="5">
      <c r="A5" s="31" t="inlineStr">
        <is>
          <t>★4</t>
        </is>
      </c>
      <c r="B5" s="29" t="inlineStr">
        <is>
          <t>6 tháng</t>
        </is>
      </c>
      <c r="C5" s="30" t="inlineStr">
        <is>
          <t>tháng HOÀN HẢO (nhiều điều kiện)</t>
        </is>
      </c>
      <c r="D5" s="30" t="inlineStr">
        <is>
          <t>Bản mềm + BẢN CỨNG (GV trao)</t>
        </is>
      </c>
      <c r="E5" s="29" t="n">
        <v>200</v>
      </c>
    </row>
    <row r="6">
      <c r="A6" s="31" t="inlineStr">
        <is>
          <t>★5</t>
        </is>
      </c>
      <c r="B6" s="29" t="inlineStr">
        <is>
          <t>9 tháng</t>
        </is>
      </c>
      <c r="C6" s="30" t="inlineStr">
        <is>
          <t>tháng HOÀN HẢO</t>
        </is>
      </c>
      <c r="D6" s="30" t="inlineStr">
        <is>
          <t>Bản mềm + BẢN CỨNG (GV trao)</t>
        </is>
      </c>
      <c r="E6" s="29" t="n">
        <v>300</v>
      </c>
    </row>
    <row r="8">
      <c r="A8" s="27" t="inlineStr">
        <is>
          <t>Thùy chốt 28/09: 1★/2★/3★/4★/5★ = 1/2/4/6/9 tháng — 5★ phải gần như hoàn hảo cả năm học. Đếm trong 1 năm học; đạt rồi giữ vĩnh viễn; năm sau đạt lại ⇒ bản mềm ghi ×2, bản cứng chỉ trao lần đầu (H8).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24" customWidth="1" min="2" max="2"/>
    <col width="22" customWidth="1" min="3" max="3"/>
    <col width="6" customWidth="1" min="4" max="4"/>
    <col width="20" customWidth="1" min="5" max="5"/>
    <col width="60" customWidth="1" min="6" max="6"/>
    <col width="12" customWidth="1" min="7" max="7"/>
    <col width="13" customWidth="1" min="8" max="8"/>
    <col width="12" customWidth="1" min="9" max="9"/>
    <col width="14" customWidth="1" min="10" max="10"/>
  </cols>
  <sheetData>
    <row r="1">
      <c r="A1" s="1" t="inlineStr">
        <is>
          <t>Huy hiệu</t>
        </is>
      </c>
      <c r="B1" s="1" t="inlineStr">
        <is>
          <t>Ghi nhận</t>
        </is>
      </c>
      <c r="C1" s="1" t="inlineStr">
        <is>
          <t>Biểu tượng</t>
        </is>
      </c>
      <c r="D1" s="1" t="inlineStr">
        <is>
          <t>Sao</t>
        </is>
      </c>
      <c r="E1" s="1" t="inlineStr">
        <is>
          <t>Cần</t>
        </is>
      </c>
      <c r="F1" s="1" t="inlineStr">
        <is>
          <t>Điều kiện 1 tháng (mã)</t>
        </is>
      </c>
      <c r="G1" s="1" t="inlineStr">
        <is>
          <t>Số điều kiện (đếm từ Ma trận)</t>
        </is>
      </c>
      <c r="H1" s="1" t="inlineStr">
        <is>
          <t>Bản cứng</t>
        </is>
      </c>
      <c r="I1" s="1" t="inlineStr">
        <is>
          <t>% HS đạt / năm (mô phỏng)</t>
        </is>
      </c>
      <c r="J1" s="1" t="inlineStr">
        <is>
          <t>Bản cứng / năm Toán C2 (211 HS)</t>
        </is>
      </c>
    </row>
    <row r="2">
      <c r="A2" s="32" t="inlineStr">
        <is>
          <t>Helios</t>
        </is>
      </c>
      <c r="B2" s="33" t="inlineStr">
        <is>
          <t>Chuyên cần — đi học không nghỉ</t>
        </is>
      </c>
      <c r="C2" s="33" t="inlineStr">
        <is>
          <t>Thần Mặt Trời: ngày nào cũng mọc</t>
        </is>
      </c>
      <c r="D2" s="34" t="inlineStr">
        <is>
          <t>★1</t>
        </is>
      </c>
      <c r="E2" s="35" t="inlineStr">
        <is>
          <t>1 tháng đạt chuẩn</t>
        </is>
      </c>
      <c r="F2" s="33" t="inlineStr">
        <is>
          <t>A1 (Không vắng buổi nào trong tháng)</t>
        </is>
      </c>
      <c r="G2" s="36">
        <f>COUNTIF('Ma trận'!F$3:F$16,"★1–5")</f>
        <v/>
      </c>
      <c r="H2" s="36" t="inlineStr">
        <is>
          <t>—</t>
        </is>
      </c>
      <c r="I2" s="36" t="inlineStr">
        <is>
          <t>98%</t>
        </is>
      </c>
      <c r="J2" s="36" t="inlineStr">
        <is>
          <t>—</t>
        </is>
      </c>
    </row>
    <row r="3">
      <c r="A3" s="32" t="inlineStr">
        <is>
          <t>Helios</t>
        </is>
      </c>
      <c r="B3" s="33" t="inlineStr">
        <is>
          <t>Chuyên cần — đi học không nghỉ</t>
        </is>
      </c>
      <c r="C3" s="33" t="inlineStr">
        <is>
          <t>Thần Mặt Trời: ngày nào cũng mọc</t>
        </is>
      </c>
      <c r="D3" s="34" t="inlineStr">
        <is>
          <t>★2</t>
        </is>
      </c>
      <c r="E3" s="35" t="inlineStr">
        <is>
          <t>2 tháng đạt chuẩn</t>
        </is>
      </c>
      <c r="F3" s="33" t="inlineStr">
        <is>
          <t>A1 (Không vắng buổi nào trong tháng)</t>
        </is>
      </c>
      <c r="G3" s="36">
        <f>COUNTIF('Ma trận'!F$3:F$16,"★1–5")</f>
        <v/>
      </c>
      <c r="H3" s="36" t="inlineStr">
        <is>
          <t>—</t>
        </is>
      </c>
      <c r="I3" s="36" t="inlineStr">
        <is>
          <t>94%</t>
        </is>
      </c>
      <c r="J3" s="36" t="inlineStr">
        <is>
          <t>—</t>
        </is>
      </c>
    </row>
    <row r="4">
      <c r="A4" s="32" t="inlineStr">
        <is>
          <t>Helios</t>
        </is>
      </c>
      <c r="B4" s="33" t="inlineStr">
        <is>
          <t>Chuyên cần — đi học không nghỉ</t>
        </is>
      </c>
      <c r="C4" s="33" t="inlineStr">
        <is>
          <t>Thần Mặt Trời: ngày nào cũng mọc</t>
        </is>
      </c>
      <c r="D4" s="34" t="inlineStr">
        <is>
          <t>★3</t>
        </is>
      </c>
      <c r="E4" s="35" t="inlineStr">
        <is>
          <t>4 tháng đạt chuẩn</t>
        </is>
      </c>
      <c r="F4" s="33" t="inlineStr">
        <is>
          <t>A1 (Không vắng buổi nào trong tháng)</t>
        </is>
      </c>
      <c r="G4" s="36">
        <f>COUNTIF('Ma trận'!F$3:F$16,"★1–5")</f>
        <v/>
      </c>
      <c r="H4" s="36" t="inlineStr">
        <is>
          <t>—</t>
        </is>
      </c>
      <c r="I4" s="36" t="inlineStr">
        <is>
          <t>83%</t>
        </is>
      </c>
      <c r="J4" s="36" t="inlineStr">
        <is>
          <t>—</t>
        </is>
      </c>
    </row>
    <row r="5">
      <c r="A5" s="32" t="inlineStr">
        <is>
          <t>Helios</t>
        </is>
      </c>
      <c r="B5" s="33" t="inlineStr">
        <is>
          <t>Chuyên cần — đi học không nghỉ</t>
        </is>
      </c>
      <c r="C5" s="33" t="inlineStr">
        <is>
          <t>Thần Mặt Trời: ngày nào cũng mọc</t>
        </is>
      </c>
      <c r="D5" s="37" t="inlineStr">
        <is>
          <t>★4</t>
        </is>
      </c>
      <c r="E5" s="35" t="inlineStr">
        <is>
          <t>6 tháng hoàn hảo</t>
        </is>
      </c>
      <c r="F5" s="33" t="inlineStr">
        <is>
          <t>A1 (Không vắng buổi nào trong tháng) + A2 (Nộp đủ, đúng hạn mọi bài BTVN trong tháng) + A6 (Pass Thử thách ≥ 15 ngày trong tháng)</t>
        </is>
      </c>
      <c r="G5" s="36">
        <f>COUNTIF('Ma trận'!F$3:F$16,"★1–5")+COUNTIF('Ma trận'!F$3:F$16,"★4–5")</f>
        <v/>
      </c>
      <c r="H5" s="36" t="inlineStr">
        <is>
          <t>Có (GV trao)</t>
        </is>
      </c>
      <c r="I5" s="36" t="inlineStr">
        <is>
          <t>3%</t>
        </is>
      </c>
      <c r="J5" s="36" t="n">
        <v>4</v>
      </c>
    </row>
    <row r="6">
      <c r="A6" s="32" t="inlineStr">
        <is>
          <t>Helios</t>
        </is>
      </c>
      <c r="B6" s="33" t="inlineStr">
        <is>
          <t>Chuyên cần — đi học không nghỉ</t>
        </is>
      </c>
      <c r="C6" s="33" t="inlineStr">
        <is>
          <t>Thần Mặt Trời: ngày nào cũng mọc</t>
        </is>
      </c>
      <c r="D6" s="37" t="inlineStr">
        <is>
          <t>★5</t>
        </is>
      </c>
      <c r="E6" s="35" t="inlineStr">
        <is>
          <t>9 tháng hoàn hảo</t>
        </is>
      </c>
      <c r="F6" s="33" t="inlineStr">
        <is>
          <t>A1 (Không vắng buổi nào trong tháng) + A2 (Nộp đủ, đúng hạn mọi bài BTVN trong tháng) + A6 (Pass Thử thách ≥ 15 ngày trong tháng)</t>
        </is>
      </c>
      <c r="G6" s="36">
        <f>COUNTIF('Ma trận'!F$3:F$16,"★1–5")+COUNTIF('Ma trận'!F$3:F$16,"★4–5")</f>
        <v/>
      </c>
      <c r="H6" s="36" t="inlineStr">
        <is>
          <t>Có (GV trao)</t>
        </is>
      </c>
      <c r="I6" s="36" t="inlineStr">
        <is>
          <t>1%</t>
        </is>
      </c>
      <c r="J6" s="36" t="n">
        <v>1</v>
      </c>
    </row>
    <row r="7">
      <c r="A7" s="38" t="inlineStr">
        <is>
          <t>Chronos</t>
        </is>
      </c>
      <c r="B7" s="39" t="inlineStr">
        <is>
          <t>Nộp BTVN đủ, đúng hạn</t>
        </is>
      </c>
      <c r="C7" s="39" t="inlineStr">
        <is>
          <t>Thần Thời Gian</t>
        </is>
      </c>
      <c r="D7" s="40" t="inlineStr">
        <is>
          <t>★1</t>
        </is>
      </c>
      <c r="E7" s="41" t="inlineStr">
        <is>
          <t>1 tháng đạt chuẩn</t>
        </is>
      </c>
      <c r="F7" s="39" t="inlineStr">
        <is>
          <t>A2 (Nộp đủ, đúng hạn mọi bài BTVN trong tháng)</t>
        </is>
      </c>
      <c r="G7" s="42">
        <f>COUNTIF('Ma trận'!G$3:G$16,"★1–5")</f>
        <v/>
      </c>
      <c r="H7" s="42" t="inlineStr">
        <is>
          <t>—</t>
        </is>
      </c>
      <c r="I7" s="42" t="inlineStr">
        <is>
          <t>89%</t>
        </is>
      </c>
      <c r="J7" s="42" t="inlineStr">
        <is>
          <t>—</t>
        </is>
      </c>
    </row>
    <row r="8">
      <c r="A8" s="38" t="inlineStr">
        <is>
          <t>Chronos</t>
        </is>
      </c>
      <c r="B8" s="39" t="inlineStr">
        <is>
          <t>Nộp BTVN đủ, đúng hạn</t>
        </is>
      </c>
      <c r="C8" s="39" t="inlineStr">
        <is>
          <t>Thần Thời Gian</t>
        </is>
      </c>
      <c r="D8" s="40" t="inlineStr">
        <is>
          <t>★2</t>
        </is>
      </c>
      <c r="E8" s="41" t="inlineStr">
        <is>
          <t>2 tháng đạt chuẩn</t>
        </is>
      </c>
      <c r="F8" s="39" t="inlineStr">
        <is>
          <t>A2 (Nộp đủ, đúng hạn mọi bài BTVN trong tháng)</t>
        </is>
      </c>
      <c r="G8" s="42">
        <f>COUNTIF('Ma trận'!G$3:G$16,"★1–5")</f>
        <v/>
      </c>
      <c r="H8" s="42" t="inlineStr">
        <is>
          <t>—</t>
        </is>
      </c>
      <c r="I8" s="42" t="inlineStr">
        <is>
          <t>77%</t>
        </is>
      </c>
      <c r="J8" s="42" t="inlineStr">
        <is>
          <t>—</t>
        </is>
      </c>
    </row>
    <row r="9">
      <c r="A9" s="38" t="inlineStr">
        <is>
          <t>Chronos</t>
        </is>
      </c>
      <c r="B9" s="39" t="inlineStr">
        <is>
          <t>Nộp BTVN đủ, đúng hạn</t>
        </is>
      </c>
      <c r="C9" s="39" t="inlineStr">
        <is>
          <t>Thần Thời Gian</t>
        </is>
      </c>
      <c r="D9" s="40" t="inlineStr">
        <is>
          <t>★3</t>
        </is>
      </c>
      <c r="E9" s="41" t="inlineStr">
        <is>
          <t>4 tháng đạt chuẩn</t>
        </is>
      </c>
      <c r="F9" s="39" t="inlineStr">
        <is>
          <t>A2 (Nộp đủ, đúng hạn mọi bài BTVN trong tháng)</t>
        </is>
      </c>
      <c r="G9" s="42">
        <f>COUNTIF('Ma trận'!G$3:G$16,"★1–5")</f>
        <v/>
      </c>
      <c r="H9" s="42" t="inlineStr">
        <is>
          <t>—</t>
        </is>
      </c>
      <c r="I9" s="42" t="inlineStr">
        <is>
          <t>60%</t>
        </is>
      </c>
      <c r="J9" s="42" t="inlineStr">
        <is>
          <t>—</t>
        </is>
      </c>
    </row>
    <row r="10">
      <c r="A10" s="38" t="inlineStr">
        <is>
          <t>Chronos</t>
        </is>
      </c>
      <c r="B10" s="39" t="inlineStr">
        <is>
          <t>Nộp BTVN đủ, đúng hạn</t>
        </is>
      </c>
      <c r="C10" s="39" t="inlineStr">
        <is>
          <t>Thần Thời Gian</t>
        </is>
      </c>
      <c r="D10" s="43" t="inlineStr">
        <is>
          <t>★4</t>
        </is>
      </c>
      <c r="E10" s="41" t="inlineStr">
        <is>
          <t>6 tháng hoàn hảo</t>
        </is>
      </c>
      <c r="F10" s="39" t="inlineStr">
        <is>
          <t>A2 (Nộp đủ, đúng hạn mọi bài BTVN trong tháng) + A1 (Không vắng buổi nào trong tháng) + A4 (Tự luyện ≥ 200 câu đúng trong tháng)</t>
        </is>
      </c>
      <c r="G10" s="42">
        <f>COUNTIF('Ma trận'!G$3:G$16,"★1–5")+COUNTIF('Ma trận'!G$3:G$16,"★4–5")</f>
        <v/>
      </c>
      <c r="H10" s="42" t="inlineStr">
        <is>
          <t>Có (GV trao)</t>
        </is>
      </c>
      <c r="I10" s="42" t="inlineStr">
        <is>
          <t>4%</t>
        </is>
      </c>
      <c r="J10" s="42" t="n">
        <v>7</v>
      </c>
    </row>
    <row r="11">
      <c r="A11" s="38" t="inlineStr">
        <is>
          <t>Chronos</t>
        </is>
      </c>
      <c r="B11" s="39" t="inlineStr">
        <is>
          <t>Nộp BTVN đủ, đúng hạn</t>
        </is>
      </c>
      <c r="C11" s="39" t="inlineStr">
        <is>
          <t>Thần Thời Gian</t>
        </is>
      </c>
      <c r="D11" s="43" t="inlineStr">
        <is>
          <t>★5</t>
        </is>
      </c>
      <c r="E11" s="41" t="inlineStr">
        <is>
          <t>9 tháng hoàn hảo</t>
        </is>
      </c>
      <c r="F11" s="39" t="inlineStr">
        <is>
          <t>A2 (Nộp đủ, đúng hạn mọi bài BTVN trong tháng) + A1 (Không vắng buổi nào trong tháng) + A4 (Tự luyện ≥ 200 câu đúng trong tháng)</t>
        </is>
      </c>
      <c r="G11" s="42">
        <f>COUNTIF('Ma trận'!G$3:G$16,"★1–5")+COUNTIF('Ma trận'!G$3:G$16,"★4–5")</f>
        <v/>
      </c>
      <c r="H11" s="42" t="inlineStr">
        <is>
          <t>Có (GV trao)</t>
        </is>
      </c>
      <c r="I11" s="42" t="inlineStr">
        <is>
          <t>1%</t>
        </is>
      </c>
      <c r="J11" s="42" t="n">
        <v>3</v>
      </c>
    </row>
    <row r="12">
      <c r="A12" s="44" t="inlineStr">
        <is>
          <t>Athena</t>
        </is>
      </c>
      <c r="B12" s="45" t="inlineStr">
        <is>
          <t>Làm tốt bài ET trên lớp</t>
        </is>
      </c>
      <c r="C12" s="45" t="inlineStr">
        <is>
          <t>Nữ thần Trí Tuệ</t>
        </is>
      </c>
      <c r="D12" s="46" t="inlineStr">
        <is>
          <t>★1</t>
        </is>
      </c>
      <c r="E12" s="47" t="inlineStr">
        <is>
          <t>1 tháng đạt chuẩn</t>
        </is>
      </c>
      <c r="F12" s="45" t="inlineStr">
        <is>
          <t>B1 (ET đúng ≥ 80% ở ≥ 3/4 số bài ET trong tháng)</t>
        </is>
      </c>
      <c r="G12" s="48">
        <f>COUNTIF('Ma trận'!H$3:H$16,"★1–5")</f>
        <v/>
      </c>
      <c r="H12" s="48" t="inlineStr">
        <is>
          <t>—</t>
        </is>
      </c>
      <c r="I12" s="48" t="inlineStr">
        <is>
          <t>61%</t>
        </is>
      </c>
      <c r="J12" s="48" t="inlineStr">
        <is>
          <t>—</t>
        </is>
      </c>
    </row>
    <row r="13">
      <c r="A13" s="44" t="inlineStr">
        <is>
          <t>Athena</t>
        </is>
      </c>
      <c r="B13" s="45" t="inlineStr">
        <is>
          <t>Làm tốt bài ET trên lớp</t>
        </is>
      </c>
      <c r="C13" s="45" t="inlineStr">
        <is>
          <t>Nữ thần Trí Tuệ</t>
        </is>
      </c>
      <c r="D13" s="46" t="inlineStr">
        <is>
          <t>★2</t>
        </is>
      </c>
      <c r="E13" s="47" t="inlineStr">
        <is>
          <t>2 tháng đạt chuẩn</t>
        </is>
      </c>
      <c r="F13" s="45" t="inlineStr">
        <is>
          <t>B1 (ET đúng ≥ 80% ở ≥ 3/4 số bài ET trong tháng)</t>
        </is>
      </c>
      <c r="G13" s="48">
        <f>COUNTIF('Ma trận'!H$3:H$16,"★1–5")</f>
        <v/>
      </c>
      <c r="H13" s="48" t="inlineStr">
        <is>
          <t>—</t>
        </is>
      </c>
      <c r="I13" s="48" t="inlineStr">
        <is>
          <t>48%</t>
        </is>
      </c>
      <c r="J13" s="48" t="inlineStr">
        <is>
          <t>—</t>
        </is>
      </c>
    </row>
    <row r="14">
      <c r="A14" s="44" t="inlineStr">
        <is>
          <t>Athena</t>
        </is>
      </c>
      <c r="B14" s="45" t="inlineStr">
        <is>
          <t>Làm tốt bài ET trên lớp</t>
        </is>
      </c>
      <c r="C14" s="45" t="inlineStr">
        <is>
          <t>Nữ thần Trí Tuệ</t>
        </is>
      </c>
      <c r="D14" s="46" t="inlineStr">
        <is>
          <t>★3</t>
        </is>
      </c>
      <c r="E14" s="47" t="inlineStr">
        <is>
          <t>4 tháng đạt chuẩn</t>
        </is>
      </c>
      <c r="F14" s="45" t="inlineStr">
        <is>
          <t>B1 (ET đúng ≥ 80% ở ≥ 3/4 số bài ET trong tháng)</t>
        </is>
      </c>
      <c r="G14" s="48">
        <f>COUNTIF('Ma trận'!H$3:H$16,"★1–5")</f>
        <v/>
      </c>
      <c r="H14" s="48" t="inlineStr">
        <is>
          <t>—</t>
        </is>
      </c>
      <c r="I14" s="48" t="inlineStr">
        <is>
          <t>32%</t>
        </is>
      </c>
      <c r="J14" s="48" t="inlineStr">
        <is>
          <t>—</t>
        </is>
      </c>
    </row>
    <row r="15">
      <c r="A15" s="44" t="inlineStr">
        <is>
          <t>Athena</t>
        </is>
      </c>
      <c r="B15" s="45" t="inlineStr">
        <is>
          <t>Làm tốt bài ET trên lớp</t>
        </is>
      </c>
      <c r="C15" s="45" t="inlineStr">
        <is>
          <t>Nữ thần Trí Tuệ</t>
        </is>
      </c>
      <c r="D15" s="49" t="inlineStr">
        <is>
          <t>★4</t>
        </is>
      </c>
      <c r="E15" s="47" t="inlineStr">
        <is>
          <t>6 tháng hoàn hảo</t>
        </is>
      </c>
      <c r="F15" s="45" t="inlineStr">
        <is>
          <t>B1 (ET đúng ≥ 80% ở ≥ 3/4 số bài ET trong tháng) + A2 (Nộp đủ, đúng hạn mọi bài BTVN trong tháng) + B4 (BTVN đúng trung bình ≥ 85% trong tháng)</t>
        </is>
      </c>
      <c r="G15" s="48">
        <f>COUNTIF('Ma trận'!H$3:H$16,"★1–5")+COUNTIF('Ma trận'!H$3:H$16,"★4–5")</f>
        <v/>
      </c>
      <c r="H15" s="48" t="inlineStr">
        <is>
          <t>Có (GV trao)</t>
        </is>
      </c>
      <c r="I15" s="48" t="inlineStr">
        <is>
          <t>3%</t>
        </is>
      </c>
      <c r="J15" s="48" t="n">
        <v>5</v>
      </c>
    </row>
    <row r="16">
      <c r="A16" s="44" t="inlineStr">
        <is>
          <t>Athena</t>
        </is>
      </c>
      <c r="B16" s="45" t="inlineStr">
        <is>
          <t>Làm tốt bài ET trên lớp</t>
        </is>
      </c>
      <c r="C16" s="45" t="inlineStr">
        <is>
          <t>Nữ thần Trí Tuệ</t>
        </is>
      </c>
      <c r="D16" s="49" t="inlineStr">
        <is>
          <t>★5</t>
        </is>
      </c>
      <c r="E16" s="47" t="inlineStr">
        <is>
          <t>9 tháng hoàn hảo</t>
        </is>
      </c>
      <c r="F16" s="45" t="inlineStr">
        <is>
          <t>B1 (ET đúng ≥ 80% ở ≥ 3/4 số bài ET trong tháng) + A2 (Nộp đủ, đúng hạn mọi bài BTVN trong tháng) + B4 (BTVN đúng trung bình ≥ 85% trong tháng)</t>
        </is>
      </c>
      <c r="G16" s="48">
        <f>COUNTIF('Ma trận'!H$3:H$16,"★1–5")+COUNTIF('Ma trận'!H$3:H$16,"★4–5")</f>
        <v/>
      </c>
      <c r="H16" s="48" t="inlineStr">
        <is>
          <t>Có (GV trao)</t>
        </is>
      </c>
      <c r="I16" s="48" t="inlineStr">
        <is>
          <t>1%</t>
        </is>
      </c>
      <c r="J16" s="48" t="n">
        <v>2</v>
      </c>
    </row>
    <row r="17">
      <c r="A17" s="50" t="inlineStr">
        <is>
          <t>Zeus</t>
        </is>
      </c>
      <c r="B17" s="51" t="inlineStr">
        <is>
          <t>MT top khối</t>
        </is>
      </c>
      <c r="C17" s="51" t="inlineStr">
        <is>
          <t>Vua các vị thần</t>
        </is>
      </c>
      <c r="D17" s="52" t="inlineStr">
        <is>
          <t>★1</t>
        </is>
      </c>
      <c r="E17" s="53" t="inlineStr">
        <is>
          <t>1 tháng đạt chuẩn</t>
        </is>
      </c>
      <c r="F17" s="51" t="inlineStr">
        <is>
          <t>B2 (MT tháng top 30% khối)</t>
        </is>
      </c>
      <c r="G17" s="54">
        <f>COUNTIF('Ma trận'!I$3:I$16,"★1–5")</f>
        <v/>
      </c>
      <c r="H17" s="54" t="inlineStr">
        <is>
          <t>—</t>
        </is>
      </c>
      <c r="I17" s="54" t="inlineStr">
        <is>
          <t>73%</t>
        </is>
      </c>
      <c r="J17" s="54" t="inlineStr">
        <is>
          <t>—</t>
        </is>
      </c>
    </row>
    <row r="18">
      <c r="A18" s="50" t="inlineStr">
        <is>
          <t>Zeus</t>
        </is>
      </c>
      <c r="B18" s="51" t="inlineStr">
        <is>
          <t>MT top khối</t>
        </is>
      </c>
      <c r="C18" s="51" t="inlineStr">
        <is>
          <t>Vua các vị thần</t>
        </is>
      </c>
      <c r="D18" s="52" t="inlineStr">
        <is>
          <t>★2</t>
        </is>
      </c>
      <c r="E18" s="53" t="inlineStr">
        <is>
          <t>2 tháng đạt chuẩn</t>
        </is>
      </c>
      <c r="F18" s="51" t="inlineStr">
        <is>
          <t>B2 (MT tháng top 30% khối)</t>
        </is>
      </c>
      <c r="G18" s="54">
        <f>COUNTIF('Ma trận'!I$3:I$16,"★1–5")</f>
        <v/>
      </c>
      <c r="H18" s="54" t="inlineStr">
        <is>
          <t>—</t>
        </is>
      </c>
      <c r="I18" s="54" t="inlineStr">
        <is>
          <t>58%</t>
        </is>
      </c>
      <c r="J18" s="54" t="inlineStr">
        <is>
          <t>—</t>
        </is>
      </c>
    </row>
    <row r="19">
      <c r="A19" s="50" t="inlineStr">
        <is>
          <t>Zeus</t>
        </is>
      </c>
      <c r="B19" s="51" t="inlineStr">
        <is>
          <t>MT top khối</t>
        </is>
      </c>
      <c r="C19" s="51" t="inlineStr">
        <is>
          <t>Vua các vị thần</t>
        </is>
      </c>
      <c r="D19" s="52" t="inlineStr">
        <is>
          <t>★3</t>
        </is>
      </c>
      <c r="E19" s="53" t="inlineStr">
        <is>
          <t>4 tháng đạt chuẩn</t>
        </is>
      </c>
      <c r="F19" s="51" t="inlineStr">
        <is>
          <t>B2 (MT tháng top 30% khối)</t>
        </is>
      </c>
      <c r="G19" s="54">
        <f>COUNTIF('Ma trận'!I$3:I$16,"★1–5")</f>
        <v/>
      </c>
      <c r="H19" s="54" t="inlineStr">
        <is>
          <t>—</t>
        </is>
      </c>
      <c r="I19" s="54" t="inlineStr">
        <is>
          <t>38%</t>
        </is>
      </c>
      <c r="J19" s="54" t="inlineStr">
        <is>
          <t>—</t>
        </is>
      </c>
    </row>
    <row r="20">
      <c r="A20" s="50" t="inlineStr">
        <is>
          <t>Zeus</t>
        </is>
      </c>
      <c r="B20" s="51" t="inlineStr">
        <is>
          <t>MT top khối</t>
        </is>
      </c>
      <c r="C20" s="51" t="inlineStr">
        <is>
          <t>Vua các vị thần</t>
        </is>
      </c>
      <c r="D20" s="55" t="inlineStr">
        <is>
          <t>★4</t>
        </is>
      </c>
      <c r="E20" s="53" t="inlineStr">
        <is>
          <t>6 tháng hoàn hảo</t>
        </is>
      </c>
      <c r="F20" s="51" t="inlineStr">
        <is>
          <t>B2 (MT tháng top 30% khối) + B1 (ET đúng ≥ 80% ở ≥ 3/4 số bài ET trong tháng) + B5 (BTVN đúng trung bình ≥ 90% trong tháng)</t>
        </is>
      </c>
      <c r="G20" s="54">
        <f>COUNTIF('Ma trận'!I$3:I$16,"★1–5")+COUNTIF('Ma trận'!I$3:I$16,"★4–5")</f>
        <v/>
      </c>
      <c r="H20" s="54" t="inlineStr">
        <is>
          <t>Có (GV trao)</t>
        </is>
      </c>
      <c r="I20" s="54" t="inlineStr">
        <is>
          <t>4%</t>
        </is>
      </c>
      <c r="J20" s="54" t="n">
        <v>5</v>
      </c>
    </row>
    <row r="21">
      <c r="A21" s="50" t="inlineStr">
        <is>
          <t>Zeus</t>
        </is>
      </c>
      <c r="B21" s="51" t="inlineStr">
        <is>
          <t>MT top khối</t>
        </is>
      </c>
      <c r="C21" s="51" t="inlineStr">
        <is>
          <t>Vua các vị thần</t>
        </is>
      </c>
      <c r="D21" s="55" t="inlineStr">
        <is>
          <t>★5</t>
        </is>
      </c>
      <c r="E21" s="53" t="inlineStr">
        <is>
          <t>9 tháng hoàn hảo</t>
        </is>
      </c>
      <c r="F21" s="51" t="inlineStr">
        <is>
          <t>B2 (MT tháng top 30% khối) + B1 (ET đúng ≥ 80% ở ≥ 3/4 số bài ET trong tháng) + B5 (BTVN đúng trung bình ≥ 90% trong tháng)</t>
        </is>
      </c>
      <c r="G21" s="54">
        <f>COUNTIF('Ma trận'!I$3:I$16,"★1–5")+COUNTIF('Ma trận'!I$3:I$16,"★4–5")</f>
        <v/>
      </c>
      <c r="H21" s="54" t="inlineStr">
        <is>
          <t>Có (GV trao)</t>
        </is>
      </c>
      <c r="I21" s="54" t="inlineStr">
        <is>
          <t>2%</t>
        </is>
      </c>
      <c r="J21" s="54" t="n">
        <v>4</v>
      </c>
    </row>
    <row r="22">
      <c r="A22" s="56" t="inlineStr">
        <is>
          <t>Phoenix</t>
        </is>
      </c>
      <c r="B22" s="57" t="inlineStr">
        <is>
          <t>Hạng MT bứt phá so với đầu năm</t>
        </is>
      </c>
      <c r="C22" s="57" t="inlineStr">
        <is>
          <t>Chim thần tái sinh (biểu tượng)</t>
        </is>
      </c>
      <c r="D22" s="58" t="inlineStr">
        <is>
          <t>★1</t>
        </is>
      </c>
      <c r="E22" s="59" t="inlineStr">
        <is>
          <t>1 tháng đạt chuẩn</t>
        </is>
      </c>
      <c r="F22" s="57" t="inlineStr">
        <is>
          <t>P1 (Hạng MT tháng TỐT HƠN hạng tháng đầu năm học (hoặc giữ top 10%))</t>
        </is>
      </c>
      <c r="G22" s="60">
        <f>COUNTIF('Ma trận'!J$3:J$16,"★1–5")</f>
        <v/>
      </c>
      <c r="H22" s="60" t="inlineStr">
        <is>
          <t>—</t>
        </is>
      </c>
      <c r="I22" s="60" t="inlineStr">
        <is>
          <t>92%</t>
        </is>
      </c>
      <c r="J22" s="60" t="inlineStr">
        <is>
          <t>—</t>
        </is>
      </c>
    </row>
    <row r="23">
      <c r="A23" s="56" t="inlineStr">
        <is>
          <t>Phoenix</t>
        </is>
      </c>
      <c r="B23" s="57" t="inlineStr">
        <is>
          <t>Hạng MT bứt phá so với đầu năm</t>
        </is>
      </c>
      <c r="C23" s="57" t="inlineStr">
        <is>
          <t>Chim thần tái sinh (biểu tượng)</t>
        </is>
      </c>
      <c r="D23" s="58" t="inlineStr">
        <is>
          <t>★2</t>
        </is>
      </c>
      <c r="E23" s="59" t="inlineStr">
        <is>
          <t>2 tháng đạt chuẩn</t>
        </is>
      </c>
      <c r="F23" s="57" t="inlineStr">
        <is>
          <t>P1 (Hạng MT tháng TỐT HƠN hạng tháng đầu năm học (hoặc giữ top 10%))</t>
        </is>
      </c>
      <c r="G23" s="60">
        <f>COUNTIF('Ma trận'!J$3:J$16,"★1–5")</f>
        <v/>
      </c>
      <c r="H23" s="60" t="inlineStr">
        <is>
          <t>—</t>
        </is>
      </c>
      <c r="I23" s="60" t="inlineStr">
        <is>
          <t>81%</t>
        </is>
      </c>
      <c r="J23" s="60" t="inlineStr">
        <is>
          <t>—</t>
        </is>
      </c>
    </row>
    <row r="24">
      <c r="A24" s="56" t="inlineStr">
        <is>
          <t>Phoenix</t>
        </is>
      </c>
      <c r="B24" s="57" t="inlineStr">
        <is>
          <t>Hạng MT bứt phá so với đầu năm</t>
        </is>
      </c>
      <c r="C24" s="57" t="inlineStr">
        <is>
          <t>Chim thần tái sinh (biểu tượng)</t>
        </is>
      </c>
      <c r="D24" s="58" t="inlineStr">
        <is>
          <t>★3</t>
        </is>
      </c>
      <c r="E24" s="59" t="inlineStr">
        <is>
          <t>4 tháng đạt chuẩn</t>
        </is>
      </c>
      <c r="F24" s="57" t="inlineStr">
        <is>
          <t>P1 (Hạng MT tháng TỐT HƠN hạng tháng đầu năm học (hoặc giữ top 10%))</t>
        </is>
      </c>
      <c r="G24" s="60">
        <f>COUNTIF('Ma trận'!J$3:J$16,"★1–5")</f>
        <v/>
      </c>
      <c r="H24" s="60" t="inlineStr">
        <is>
          <t>—</t>
        </is>
      </c>
      <c r="I24" s="60" t="inlineStr">
        <is>
          <t>61%</t>
        </is>
      </c>
      <c r="J24" s="60" t="inlineStr">
        <is>
          <t>—</t>
        </is>
      </c>
    </row>
    <row r="25">
      <c r="A25" s="56" t="inlineStr">
        <is>
          <t>Phoenix</t>
        </is>
      </c>
      <c r="B25" s="57" t="inlineStr">
        <is>
          <t>Hạng MT bứt phá so với đầu năm</t>
        </is>
      </c>
      <c r="C25" s="57" t="inlineStr">
        <is>
          <t>Chim thần tái sinh (biểu tượng)</t>
        </is>
      </c>
      <c r="D25" s="61" t="inlineStr">
        <is>
          <t>★4</t>
        </is>
      </c>
      <c r="E25" s="59" t="inlineStr">
        <is>
          <t>6 tháng hoàn hảo</t>
        </is>
      </c>
      <c r="F25" s="57" t="inlineStr">
        <is>
          <t>P1 (Hạng MT tháng TỐT HƠN hạng tháng đầu năm học (hoặc giữ top 10%)) + A2 (Nộp đủ, đúng hạn mọi bài BTVN trong tháng) + A1 (Không vắng buổi nào trong tháng)</t>
        </is>
      </c>
      <c r="G25" s="60">
        <f>COUNTIF('Ma trận'!J$3:J$16,"★1–5")+COUNTIF('Ma trận'!J$3:J$16,"★4–5")</f>
        <v/>
      </c>
      <c r="H25" s="60" t="inlineStr">
        <is>
          <t>Có (GV trao)</t>
        </is>
      </c>
      <c r="I25" s="60" t="inlineStr">
        <is>
          <t>5%</t>
        </is>
      </c>
      <c r="J25" s="60" t="n">
        <v>10</v>
      </c>
    </row>
    <row r="26">
      <c r="A26" s="56" t="inlineStr">
        <is>
          <t>Phoenix</t>
        </is>
      </c>
      <c r="B26" s="57" t="inlineStr">
        <is>
          <t>Hạng MT bứt phá so với đầu năm</t>
        </is>
      </c>
      <c r="C26" s="57" t="inlineStr">
        <is>
          <t>Chim thần tái sinh (biểu tượng)</t>
        </is>
      </c>
      <c r="D26" s="61" t="inlineStr">
        <is>
          <t>★5</t>
        </is>
      </c>
      <c r="E26" s="59" t="inlineStr">
        <is>
          <t>9 tháng hoàn hảo</t>
        </is>
      </c>
      <c r="F26" s="57" t="inlineStr">
        <is>
          <t>P1 (Hạng MT tháng TỐT HƠN hạng tháng đầu năm học (hoặc giữ top 10%)) + A2 (Nộp đủ, đúng hạn mọi bài BTVN trong tháng) + A1 (Không vắng buổi nào trong tháng)</t>
        </is>
      </c>
      <c r="G26" s="60">
        <f>COUNTIF('Ma trận'!J$3:J$16,"★1–5")+COUNTIF('Ma trận'!J$3:J$16,"★4–5")</f>
        <v/>
      </c>
      <c r="H26" s="60" t="inlineStr">
        <is>
          <t>Có (GV trao)</t>
        </is>
      </c>
      <c r="I26" s="60" t="inlineStr">
        <is>
          <t>0%</t>
        </is>
      </c>
      <c r="J26" s="60" t="n">
        <v>1</v>
      </c>
    </row>
    <row r="27">
      <c r="A27" s="62" t="inlineStr">
        <is>
          <t>Hercules</t>
        </is>
      </c>
      <c r="B27" s="63" t="inlineStr">
        <is>
          <t>Vượt Thử thách mỗi ngày</t>
        </is>
      </c>
      <c r="C27" s="63" t="inlineStr">
        <is>
          <t>Á thần 12 kỳ công</t>
        </is>
      </c>
      <c r="D27" s="64" t="inlineStr">
        <is>
          <t>★1</t>
        </is>
      </c>
      <c r="E27" s="65" t="inlineStr">
        <is>
          <t>1 tháng đạt chuẩn</t>
        </is>
      </c>
      <c r="F27" s="63" t="inlineStr">
        <is>
          <t>A5 (Pass Thử thách ≥ 10 ngày trong tháng)</t>
        </is>
      </c>
      <c r="G27" s="66">
        <f>COUNTIF('Ma trận'!K$3:K$16,"★1–5")</f>
        <v/>
      </c>
      <c r="H27" s="66" t="inlineStr">
        <is>
          <t>—</t>
        </is>
      </c>
      <c r="I27" s="66" t="inlineStr">
        <is>
          <t>31%</t>
        </is>
      </c>
      <c r="J27" s="66" t="inlineStr">
        <is>
          <t>—</t>
        </is>
      </c>
    </row>
    <row r="28">
      <c r="A28" s="62" t="inlineStr">
        <is>
          <t>Hercules</t>
        </is>
      </c>
      <c r="B28" s="63" t="inlineStr">
        <is>
          <t>Vượt Thử thách mỗi ngày</t>
        </is>
      </c>
      <c r="C28" s="63" t="inlineStr">
        <is>
          <t>Á thần 12 kỳ công</t>
        </is>
      </c>
      <c r="D28" s="64" t="inlineStr">
        <is>
          <t>★2</t>
        </is>
      </c>
      <c r="E28" s="65" t="inlineStr">
        <is>
          <t>2 tháng đạt chuẩn</t>
        </is>
      </c>
      <c r="F28" s="63" t="inlineStr">
        <is>
          <t>A5 (Pass Thử thách ≥ 10 ngày trong tháng)</t>
        </is>
      </c>
      <c r="G28" s="66">
        <f>COUNTIF('Ma trận'!K$3:K$16,"★1–5")</f>
        <v/>
      </c>
      <c r="H28" s="66" t="inlineStr">
        <is>
          <t>—</t>
        </is>
      </c>
      <c r="I28" s="66" t="inlineStr">
        <is>
          <t>28%</t>
        </is>
      </c>
      <c r="J28" s="66" t="inlineStr">
        <is>
          <t>—</t>
        </is>
      </c>
    </row>
    <row r="29">
      <c r="A29" s="62" t="inlineStr">
        <is>
          <t>Hercules</t>
        </is>
      </c>
      <c r="B29" s="63" t="inlineStr">
        <is>
          <t>Vượt Thử thách mỗi ngày</t>
        </is>
      </c>
      <c r="C29" s="63" t="inlineStr">
        <is>
          <t>Á thần 12 kỳ công</t>
        </is>
      </c>
      <c r="D29" s="64" t="inlineStr">
        <is>
          <t>★3</t>
        </is>
      </c>
      <c r="E29" s="65" t="inlineStr">
        <is>
          <t>4 tháng đạt chuẩn</t>
        </is>
      </c>
      <c r="F29" s="63" t="inlineStr">
        <is>
          <t>A5 (Pass Thử thách ≥ 10 ngày trong tháng)</t>
        </is>
      </c>
      <c r="G29" s="66">
        <f>COUNTIF('Ma trận'!K$3:K$16,"★1–5")</f>
        <v/>
      </c>
      <c r="H29" s="66" t="inlineStr">
        <is>
          <t>—</t>
        </is>
      </c>
      <c r="I29" s="66" t="inlineStr">
        <is>
          <t>25%</t>
        </is>
      </c>
      <c r="J29" s="66" t="inlineStr">
        <is>
          <t>—</t>
        </is>
      </c>
    </row>
    <row r="30">
      <c r="A30" s="62" t="inlineStr">
        <is>
          <t>Hercules</t>
        </is>
      </c>
      <c r="B30" s="63" t="inlineStr">
        <is>
          <t>Vượt Thử thách mỗi ngày</t>
        </is>
      </c>
      <c r="C30" s="63" t="inlineStr">
        <is>
          <t>Á thần 12 kỳ công</t>
        </is>
      </c>
      <c r="D30" s="67" t="inlineStr">
        <is>
          <t>★4</t>
        </is>
      </c>
      <c r="E30" s="65" t="inlineStr">
        <is>
          <t>6 tháng hoàn hảo</t>
        </is>
      </c>
      <c r="F30" s="63" t="inlineStr">
        <is>
          <t>A5 (Pass Thử thách ≥ 10 ngày trong tháng) + A6 (Pass Thử thách ≥ 15 ngày trong tháng) + B6 (≥ 5 lượt Thử thách 10/10 trong tháng) + A2 (Nộp đủ, đúng hạn mọi bài BTVN trong tháng)</t>
        </is>
      </c>
      <c r="G30" s="66">
        <f>COUNTIF('Ma trận'!K$3:K$16,"★1–5")+COUNTIF('Ma trận'!K$3:K$16,"★4–5")</f>
        <v/>
      </c>
      <c r="H30" s="66" t="inlineStr">
        <is>
          <t>Có (GV trao)</t>
        </is>
      </c>
      <c r="I30" s="66" t="inlineStr">
        <is>
          <t>3%</t>
        </is>
      </c>
      <c r="J30" s="66" t="n">
        <v>3</v>
      </c>
    </row>
    <row r="31">
      <c r="A31" s="62" t="inlineStr">
        <is>
          <t>Hercules</t>
        </is>
      </c>
      <c r="B31" s="63" t="inlineStr">
        <is>
          <t>Vượt Thử thách mỗi ngày</t>
        </is>
      </c>
      <c r="C31" s="63" t="inlineStr">
        <is>
          <t>Á thần 12 kỳ công</t>
        </is>
      </c>
      <c r="D31" s="67" t="inlineStr">
        <is>
          <t>★5</t>
        </is>
      </c>
      <c r="E31" s="65" t="inlineStr">
        <is>
          <t>9 tháng hoàn hảo</t>
        </is>
      </c>
      <c r="F31" s="63" t="inlineStr">
        <is>
          <t>A5 (Pass Thử thách ≥ 10 ngày trong tháng) + A6 (Pass Thử thách ≥ 15 ngày trong tháng) + B6 (≥ 5 lượt Thử thách 10/10 trong tháng) + A2 (Nộp đủ, đúng hạn mọi bài BTVN trong tháng)</t>
        </is>
      </c>
      <c r="G31" s="66">
        <f>COUNTIF('Ma trận'!K$3:K$16,"★1–5")+COUNTIF('Ma trận'!K$3:K$16,"★4–5")</f>
        <v/>
      </c>
      <c r="H31" s="66" t="inlineStr">
        <is>
          <t>Có (GV trao)</t>
        </is>
      </c>
      <c r="I31" s="66" t="inlineStr">
        <is>
          <t>1%</t>
        </is>
      </c>
      <c r="J31" s="66" t="n">
        <v>2</v>
      </c>
    </row>
    <row r="32">
      <c r="A32" s="68" t="inlineStr">
        <is>
          <t>Hephaestus</t>
        </is>
      </c>
      <c r="B32" s="69" t="inlineStr">
        <is>
          <t>Lấp lỗ: dạng yếu → đạt</t>
        </is>
      </c>
      <c r="C32" s="69" t="inlineStr">
        <is>
          <t>Thần thợ rèn: rèn lại chỗ hỏng</t>
        </is>
      </c>
      <c r="D32" s="70" t="inlineStr">
        <is>
          <t>★1</t>
        </is>
      </c>
      <c r="E32" s="71" t="inlineStr">
        <is>
          <t>1 tháng đạt chuẩn</t>
        </is>
      </c>
      <c r="F32" s="69" t="inlineStr">
        <is>
          <t>C3 (Lấp ≥ 1 lỗ (dạng yếu → đạt) trong tháng — hoặc không còn dạng yếu)</t>
        </is>
      </c>
      <c r="G32" s="72">
        <f>COUNTIF('Ma trận'!L$3:L$16,"★1–5")</f>
        <v/>
      </c>
      <c r="H32" s="72" t="inlineStr">
        <is>
          <t>—</t>
        </is>
      </c>
      <c r="I32" s="72" t="inlineStr">
        <is>
          <t>93%</t>
        </is>
      </c>
      <c r="J32" s="72" t="inlineStr">
        <is>
          <t>—</t>
        </is>
      </c>
    </row>
    <row r="33">
      <c r="A33" s="68" t="inlineStr">
        <is>
          <t>Hephaestus</t>
        </is>
      </c>
      <c r="B33" s="69" t="inlineStr">
        <is>
          <t>Lấp lỗ: dạng yếu → đạt</t>
        </is>
      </c>
      <c r="C33" s="69" t="inlineStr">
        <is>
          <t>Thần thợ rèn: rèn lại chỗ hỏng</t>
        </is>
      </c>
      <c r="D33" s="70" t="inlineStr">
        <is>
          <t>★2</t>
        </is>
      </c>
      <c r="E33" s="71" t="inlineStr">
        <is>
          <t>2 tháng đạt chuẩn</t>
        </is>
      </c>
      <c r="F33" s="69" t="inlineStr">
        <is>
          <t>C3 (Lấp ≥ 1 lỗ (dạng yếu → đạt) trong tháng — hoặc không còn dạng yếu)</t>
        </is>
      </c>
      <c r="G33" s="72">
        <f>COUNTIF('Ma trận'!L$3:L$16,"★1–5")</f>
        <v/>
      </c>
      <c r="H33" s="72" t="inlineStr">
        <is>
          <t>—</t>
        </is>
      </c>
      <c r="I33" s="72" t="inlineStr">
        <is>
          <t>78%</t>
        </is>
      </c>
      <c r="J33" s="72" t="inlineStr">
        <is>
          <t>—</t>
        </is>
      </c>
    </row>
    <row r="34">
      <c r="A34" s="68" t="inlineStr">
        <is>
          <t>Hephaestus</t>
        </is>
      </c>
      <c r="B34" s="69" t="inlineStr">
        <is>
          <t>Lấp lỗ: dạng yếu → đạt</t>
        </is>
      </c>
      <c r="C34" s="69" t="inlineStr">
        <is>
          <t>Thần thợ rèn: rèn lại chỗ hỏng</t>
        </is>
      </c>
      <c r="D34" s="70" t="inlineStr">
        <is>
          <t>★3</t>
        </is>
      </c>
      <c r="E34" s="71" t="inlineStr">
        <is>
          <t>4 tháng đạt chuẩn</t>
        </is>
      </c>
      <c r="F34" s="69" t="inlineStr">
        <is>
          <t>C3 (Lấp ≥ 1 lỗ (dạng yếu → đạt) trong tháng — hoặc không còn dạng yếu)</t>
        </is>
      </c>
      <c r="G34" s="72">
        <f>COUNTIF('Ma trận'!L$3:L$16,"★1–5")</f>
        <v/>
      </c>
      <c r="H34" s="72" t="inlineStr">
        <is>
          <t>—</t>
        </is>
      </c>
      <c r="I34" s="72" t="inlineStr">
        <is>
          <t>53%</t>
        </is>
      </c>
      <c r="J34" s="72" t="inlineStr">
        <is>
          <t>—</t>
        </is>
      </c>
    </row>
    <row r="35">
      <c r="A35" s="68" t="inlineStr">
        <is>
          <t>Hephaestus</t>
        </is>
      </c>
      <c r="B35" s="69" t="inlineStr">
        <is>
          <t>Lấp lỗ: dạng yếu → đạt</t>
        </is>
      </c>
      <c r="C35" s="69" t="inlineStr">
        <is>
          <t>Thần thợ rèn: rèn lại chỗ hỏng</t>
        </is>
      </c>
      <c r="D35" s="73" t="inlineStr">
        <is>
          <t>★4</t>
        </is>
      </c>
      <c r="E35" s="71" t="inlineStr">
        <is>
          <t>6 tháng hoàn hảo</t>
        </is>
      </c>
      <c r="F35" s="69" t="inlineStr">
        <is>
          <t>C3 (Lấp ≥ 1 lỗ (dạng yếu → đạt) trong tháng — hoặc không còn dạng yếu) + A2 (Nộp đủ, đúng hạn mọi bài BTVN trong tháng) + A5 (Pass Thử thách ≥ 10 ngày trong tháng)</t>
        </is>
      </c>
      <c r="G35" s="72">
        <f>COUNTIF('Ma trận'!L$3:L$16,"★1–5")+COUNTIF('Ma trận'!L$3:L$16,"★4–5")</f>
        <v/>
      </c>
      <c r="H35" s="72" t="inlineStr">
        <is>
          <t>Có (GV trao)</t>
        </is>
      </c>
      <c r="I35" s="72" t="inlineStr">
        <is>
          <t>7%</t>
        </is>
      </c>
      <c r="J35" s="72" t="n">
        <v>10</v>
      </c>
    </row>
    <row r="36">
      <c r="A36" s="68" t="inlineStr">
        <is>
          <t>Hephaestus</t>
        </is>
      </c>
      <c r="B36" s="69" t="inlineStr">
        <is>
          <t>Lấp lỗ: dạng yếu → đạt</t>
        </is>
      </c>
      <c r="C36" s="69" t="inlineStr">
        <is>
          <t>Thần thợ rèn: rèn lại chỗ hỏng</t>
        </is>
      </c>
      <c r="D36" s="73" t="inlineStr">
        <is>
          <t>★5</t>
        </is>
      </c>
      <c r="E36" s="71" t="inlineStr">
        <is>
          <t>9 tháng hoàn hảo</t>
        </is>
      </c>
      <c r="F36" s="69" t="inlineStr">
        <is>
          <t>C3 (Lấp ≥ 1 lỗ (dạng yếu → đạt) trong tháng — hoặc không còn dạng yếu) + A2 (Nộp đủ, đúng hạn mọi bài BTVN trong tháng) + A5 (Pass Thử thách ≥ 10 ngày trong tháng)</t>
        </is>
      </c>
      <c r="G36" s="72">
        <f>COUNTIF('Ma trận'!L$3:L$16,"★1–5")+COUNTIF('Ma trận'!L$3:L$16,"★4–5")</f>
        <v/>
      </c>
      <c r="H36" s="72" t="inlineStr">
        <is>
          <t>Có (GV trao)</t>
        </is>
      </c>
      <c r="I36" s="72" t="inlineStr">
        <is>
          <t>2%</t>
        </is>
      </c>
      <c r="J36" s="72" t="n">
        <v>4</v>
      </c>
    </row>
    <row r="37">
      <c r="A37" s="74" t="inlineStr">
        <is>
          <t>Nike</t>
        </is>
      </c>
      <c r="B37" s="75" t="inlineStr">
        <is>
          <t>Top Bảng đua tháng</t>
        </is>
      </c>
      <c r="C37" s="75" t="inlineStr">
        <is>
          <t>Nữ thần Chiến Thắng</t>
        </is>
      </c>
      <c r="D37" s="76" t="inlineStr">
        <is>
          <t>★1</t>
        </is>
      </c>
      <c r="E37" s="77" t="inlineStr">
        <is>
          <t>1 tháng đạt chuẩn</t>
        </is>
      </c>
      <c r="F37" s="75" t="inlineStr">
        <is>
          <t>D30 (Top 30% Bảng đua tháng (khối))</t>
        </is>
      </c>
      <c r="G37" s="78">
        <f>COUNTIF('Ma trận'!M$3:M$16,"★1–5")</f>
        <v/>
      </c>
      <c r="H37" s="78" t="inlineStr">
        <is>
          <t>—</t>
        </is>
      </c>
      <c r="I37" s="78" t="inlineStr">
        <is>
          <t>50%</t>
        </is>
      </c>
      <c r="J37" s="78" t="inlineStr">
        <is>
          <t>—</t>
        </is>
      </c>
    </row>
    <row r="38">
      <c r="A38" s="74" t="inlineStr">
        <is>
          <t>Nike</t>
        </is>
      </c>
      <c r="B38" s="75" t="inlineStr">
        <is>
          <t>Top Bảng đua tháng</t>
        </is>
      </c>
      <c r="C38" s="75" t="inlineStr">
        <is>
          <t>Nữ thần Chiến Thắng</t>
        </is>
      </c>
      <c r="D38" s="76" t="inlineStr">
        <is>
          <t>★2</t>
        </is>
      </c>
      <c r="E38" s="77" t="inlineStr">
        <is>
          <t>2 tháng đạt chuẩn</t>
        </is>
      </c>
      <c r="F38" s="75" t="inlineStr">
        <is>
          <t>D30 (Top 30% Bảng đua tháng (khối))</t>
        </is>
      </c>
      <c r="G38" s="78">
        <f>COUNTIF('Ma trận'!M$3:M$16,"★1–5")</f>
        <v/>
      </c>
      <c r="H38" s="78" t="inlineStr">
        <is>
          <t>—</t>
        </is>
      </c>
      <c r="I38" s="78" t="inlineStr">
        <is>
          <t>42%</t>
        </is>
      </c>
      <c r="J38" s="78" t="inlineStr">
        <is>
          <t>—</t>
        </is>
      </c>
    </row>
    <row r="39">
      <c r="A39" s="74" t="inlineStr">
        <is>
          <t>Nike</t>
        </is>
      </c>
      <c r="B39" s="75" t="inlineStr">
        <is>
          <t>Top Bảng đua tháng</t>
        </is>
      </c>
      <c r="C39" s="75" t="inlineStr">
        <is>
          <t>Nữ thần Chiến Thắng</t>
        </is>
      </c>
      <c r="D39" s="76" t="inlineStr">
        <is>
          <t>★3</t>
        </is>
      </c>
      <c r="E39" s="77" t="inlineStr">
        <is>
          <t>4 tháng đạt chuẩn</t>
        </is>
      </c>
      <c r="F39" s="75" t="inlineStr">
        <is>
          <t>D30 (Top 30% Bảng đua tháng (khối))</t>
        </is>
      </c>
      <c r="G39" s="78">
        <f>COUNTIF('Ma trận'!M$3:M$16,"★1–5")</f>
        <v/>
      </c>
      <c r="H39" s="78" t="inlineStr">
        <is>
          <t>—</t>
        </is>
      </c>
      <c r="I39" s="78" t="inlineStr">
        <is>
          <t>35%</t>
        </is>
      </c>
      <c r="J39" s="78" t="inlineStr">
        <is>
          <t>—</t>
        </is>
      </c>
    </row>
    <row r="40">
      <c r="A40" s="74" t="inlineStr">
        <is>
          <t>Nike</t>
        </is>
      </c>
      <c r="B40" s="75" t="inlineStr">
        <is>
          <t>Top Bảng đua tháng</t>
        </is>
      </c>
      <c r="C40" s="75" t="inlineStr">
        <is>
          <t>Nữ thần Chiến Thắng</t>
        </is>
      </c>
      <c r="D40" s="79" t="inlineStr">
        <is>
          <t>★4</t>
        </is>
      </c>
      <c r="E40" s="77" t="inlineStr">
        <is>
          <t>6 tháng hoàn hảo</t>
        </is>
      </c>
      <c r="F40" s="75" t="inlineStr">
        <is>
          <t>D30 (Top 30% Bảng đua tháng (khối)) + D10 (Top 10% Bảng đua tháng (khối)) + A1 (Không vắng buổi nào trong tháng) + A2 (Nộp đủ, đúng hạn mọi bài BTVN trong tháng)</t>
        </is>
      </c>
      <c r="G40" s="78">
        <f>COUNTIF('Ma trận'!M$3:M$16,"★1–5")+COUNTIF('Ma trận'!M$3:M$16,"★4–5")</f>
        <v/>
      </c>
      <c r="H40" s="78" t="inlineStr">
        <is>
          <t>Có (GV trao)</t>
        </is>
      </c>
      <c r="I40" s="78" t="inlineStr">
        <is>
          <t>2%</t>
        </is>
      </c>
      <c r="J40" s="78" t="n">
        <v>4</v>
      </c>
    </row>
    <row r="41">
      <c r="A41" s="74" t="inlineStr">
        <is>
          <t>Nike</t>
        </is>
      </c>
      <c r="B41" s="75" t="inlineStr">
        <is>
          <t>Top Bảng đua tháng</t>
        </is>
      </c>
      <c r="C41" s="75" t="inlineStr">
        <is>
          <t>Nữ thần Chiến Thắng</t>
        </is>
      </c>
      <c r="D41" s="79" t="inlineStr">
        <is>
          <t>★5</t>
        </is>
      </c>
      <c r="E41" s="77" t="inlineStr">
        <is>
          <t>9 tháng hoàn hảo</t>
        </is>
      </c>
      <c r="F41" s="75" t="inlineStr">
        <is>
          <t>D30 (Top 30% Bảng đua tháng (khối)) + D10 (Top 10% Bảng đua tháng (khối)) + A1 (Không vắng buổi nào trong tháng) + A2 (Nộp đủ, đúng hạn mọi bài BTVN trong tháng)</t>
        </is>
      </c>
      <c r="G41" s="78">
        <f>COUNTIF('Ma trận'!M$3:M$16,"★1–5")+COUNTIF('Ma trận'!M$3:M$16,"★4–5")</f>
        <v/>
      </c>
      <c r="H41" s="78" t="inlineStr">
        <is>
          <t>Có (GV trao)</t>
        </is>
      </c>
      <c r="I41" s="78" t="inlineStr">
        <is>
          <t>0%</t>
        </is>
      </c>
      <c r="J41" s="78" t="n">
        <v>1</v>
      </c>
    </row>
    <row r="43">
      <c r="A43" s="26" t="inlineStr">
        <is>
          <t>Tổng bản cứng / năm (mô phỏng)</t>
        </is>
      </c>
      <c r="J43" s="80">
        <f>SUM(J2:J41)</f>
        <v/>
      </c>
    </row>
    <row r="44">
      <c r="A44" s="27" t="inlineStr">
        <is>
          <t>Nguồn % và bản cứng: scripts/sim-huy-hieu.mjs (1 năm học 10 tháng, khối 54 em, 200 lần; hiệu chỉnh theo DB thật T7–T9: tháng không vắng ~65%, tháng BTVN đủ đúng hạn ~47% và bền theo từng em, 60% HS dùng Thử thách).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81" t="inlineStr">
        <is>
          <t>MA TRẬN THÀNH TỰU × HUY HIỆU — môn TOÁN · PHASE 1 · 8 huy hiệu (bộ Hy Lạp) · CTO 28/09/2026</t>
        </is>
      </c>
    </row>
    <row r="2">
      <c r="A2" s="82" t="inlineStr"/>
    </row>
    <row r="3">
      <c r="A3" s="83" t="inlineStr">
        <is>
          <t>Đã chốt (Thùy 28/09)</t>
        </is>
      </c>
    </row>
    <row r="4">
      <c r="A4" s="82" t="inlineStr">
        <is>
          <t>• 8 huy hiệu, tên bộ Hy Lạp (bộ Việt Nam dành cho GIẢI THƯỞNG). Giữ Phoenix — chim thần thoại, hợp tiêu chí 'biểu tượng'.</t>
        </is>
      </c>
    </row>
    <row r="5">
      <c r="A5" s="82" t="inlineStr">
        <is>
          <t>• Thang sao theo THÁNG trong 1 năm học: ★1/★2/★3/★4/★5 = 1/2/4/6/9 tháng.</t>
        </is>
      </c>
    </row>
    <row r="6">
      <c r="A6" s="82" t="inlineStr">
        <is>
          <t>• ★1–★3 đếm tháng ĐẠT CHUẨN (1 điều kiện). ★4–★5 đếm tháng HOÀN HẢO (chuẩn + mọi điều kiện ★4–5 trong cột).</t>
        </is>
      </c>
    </row>
    <row r="7">
      <c r="A7" s="82" t="inlineStr">
        <is>
          <t>• Bản cứng từ ★4, giáo viên lớp trao, bấm 'Đã trao' trên hệ thống.</t>
        </is>
      </c>
    </row>
    <row r="8">
      <c r="A8" s="82" t="inlineStr"/>
    </row>
    <row r="9">
      <c r="A9" s="83" t="inlineStr">
        <is>
          <t>Cách đọc / sửa</t>
        </is>
      </c>
    </row>
    <row r="10">
      <c r="A10" s="82" t="inlineStr">
        <is>
          <t>• Sheet Ma trận: hàng = thành tựu (điều kiện tháng), cột = huy hiệu. Gõ/xoá '★1–5' hoặc '★4–5' để đổi điều kiện; sheet Huy hiệu tự đếm lại.</t>
        </is>
      </c>
    </row>
    <row r="11">
      <c r="A11" s="82" t="inlineStr">
        <is>
          <t>• Đổi thang sao: sửa sheet Thang sao.</t>
        </is>
      </c>
    </row>
    <row r="12">
      <c r="A12" s="82" t="inlineStr"/>
    </row>
    <row r="13">
      <c r="A13" s="83" t="inlineStr">
        <is>
          <t>Kết quả mô phỏng (1 năm học)</t>
        </is>
      </c>
    </row>
    <row r="14">
      <c r="A14" s="82" t="inlineStr">
        <is>
          <t>• 1★–3★ phân bố rộng (Helios là huy hiệu 'nhập môn' ai cũng có; các huy hiệu khác 30–60% HS lên ★3).</t>
        </is>
      </c>
    </row>
    <row r="15">
      <c r="A15" s="82" t="inlineStr">
        <is>
          <t>• ★4 ~ 2–7% HS · ★5 ~ 0–2% HS ⇒ rất danh giá, đúng ý '5★ phải gần như hoàn hảo cả năm'.</t>
        </is>
      </c>
    </row>
    <row r="16">
      <c r="A16" s="82" t="inlineStr">
        <is>
          <t>• Bản cứng ~66 / năm cho Toán cấp 2 (211 HS) ⇒ ~13 / tháng từ tháng 6 trở đi — trung tâm chủ động sản xuất trước.</t>
        </is>
      </c>
    </row>
    <row r="17">
      <c r="A17" s="82" t="inlineStr">
        <is>
          <t>• Giả định: 60% HS dùng Thử thách; Hercules phụ thuộc mạnh vào mức dùng app thật.</t>
        </is>
      </c>
    </row>
    <row r="18">
      <c r="A18" s="82" t="inlineStr"/>
    </row>
    <row r="19">
      <c r="A19" s="82" t="inlineStr">
        <is>
          <t>Nguồn: spec-thanh-tuu-nhiem-vu.md (A5) · de-xuat-huy-hieu.md · scripts/sim-huy-hieu.mjs · số đo DB chỉ đọc 28/09/2026.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2026-09-28T07:45:22Z</dcterms:created>
  <dcterms:modified xsi:type="dcterms:W3CDTF">2026-09-28T07:45:22Z</dcterms:modified>
</cp:coreProperties>
</file>