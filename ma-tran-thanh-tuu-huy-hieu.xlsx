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 trận" sheetId="1" state="visible" r:id="rId1"/>
    <sheet name="Huy hiệu" sheetId="2" state="visible" r:id="rId2"/>
    <sheet name="Ghi ch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b val="1"/>
      <sz val="10"/>
    </font>
    <font>
      <name val="Arial"/>
      <sz val="9"/>
    </font>
    <font>
      <name val="Arial"/>
      <b val="1"/>
      <color rgb="001F3864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E0F2F1"/>
      </patternFill>
    </fill>
    <fill>
      <patternFill patternType="solid">
        <fgColor rgb="00FDE9EF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FFF8E1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0" fontId="5" fillId="11" borderId="0" applyAlignment="1" pivotButton="0" quotePrefix="0" xfId="0">
      <alignment vertical="center"/>
    </xf>
    <xf numFmtId="0" fontId="5" fillId="14" borderId="0" applyAlignment="1" pivotButton="0" quotePrefix="0" xfId="0">
      <alignment vertical="center"/>
    </xf>
    <xf numFmtId="0" fontId="5" fillId="12" borderId="0" applyAlignment="1" pivotButton="0" quotePrefix="0" xfId="0">
      <alignment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6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vertical="center" wrapText="1"/>
    </xf>
    <xf numFmtId="0" fontId="6" fillId="12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CTO</author>
  </authors>
  <commentList>
    <comment ref="A1" authorId="0" shapeId="0">
      <text>
        <t>Hàng = THÀNH TỰU (điều kiện đo được). Cột = HUY HIỆU. Ô ghi sao nào của huy hiệu dùng thành tựu đó. Một cấp sao đạt khi đạt TẤT CẢ thành tựu có nhãn sao đó trong cột.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2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14" customWidth="1" min="3" max="3"/>
    <col width="26" customWidth="1" min="4" max="4"/>
    <col width="10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</cols>
  <sheetData>
    <row r="1" ht="30" customHeight="1">
      <c r="A1" s="1" t="inlineStr">
        <is>
          <t>Mã</t>
        </is>
      </c>
      <c r="B1" s="1" t="inlineStr">
        <is>
          <t>Thành tựu (điều kiện đo được)</t>
        </is>
      </c>
      <c r="C1" s="1" t="inlineStr">
        <is>
          <t>Kỳ xét</t>
        </is>
      </c>
      <c r="D1" s="1" t="inlineStr">
        <is>
          <t>Nguồn dữ liệu</t>
        </is>
      </c>
      <c r="E1" s="1" t="inlineStr">
        <is>
          <t>Số cấp huy hiệu dùng</t>
        </is>
      </c>
      <c r="F1" s="2" t="inlineStr">
        <is>
          <t>1 · Chuyên cần</t>
        </is>
      </c>
      <c r="G1" s="3" t="inlineStr">
        <is>
          <t>2 · Bài về nhà</t>
        </is>
      </c>
      <c r="H1" s="4" t="n"/>
      <c r="I1" s="4" t="n"/>
      <c r="J1" s="5" t="inlineStr">
        <is>
          <t>3 · Trên lớp</t>
        </is>
      </c>
      <c r="K1" s="4" t="n"/>
      <c r="L1" s="4" t="n"/>
      <c r="M1" s="6" t="inlineStr">
        <is>
          <t>4 · Thi (MT)</t>
        </is>
      </c>
      <c r="N1" s="4" t="n"/>
      <c r="O1" s="4" t="n"/>
      <c r="P1" s="7" t="inlineStr">
        <is>
          <t>5 · Thử thách</t>
        </is>
      </c>
      <c r="Q1" s="4" t="n"/>
      <c r="R1" s="4" t="n"/>
      <c r="S1" s="8" t="inlineStr">
        <is>
          <t>6 · Chinh phục dạng</t>
        </is>
      </c>
      <c r="T1" s="4" t="n"/>
      <c r="U1" s="4" t="n"/>
      <c r="V1" s="9" t="inlineStr">
        <is>
          <t>7 · Rank</t>
        </is>
      </c>
      <c r="W1" s="4" t="n"/>
      <c r="X1" s="10" t="inlineStr">
        <is>
          <t>8 · Nhiệm vụ</t>
        </is>
      </c>
      <c r="Y1" s="11" t="inlineStr">
        <is>
          <t>9 · Tập thể lớp</t>
        </is>
      </c>
      <c r="Z1" s="12" t="inlineStr">
        <is>
          <t>10 · Bí ẩn &amp; Kỷ niệm</t>
        </is>
      </c>
      <c r="AA1" s="4" t="n"/>
      <c r="AB1" s="4" t="n"/>
      <c r="AC1" s="4" t="n"/>
    </row>
    <row r="2" ht="32" customHeight="1">
      <c r="A2" s="4" t="n"/>
      <c r="B2" s="4" t="n"/>
      <c r="C2" s="4" t="n"/>
      <c r="D2" s="4" t="n"/>
      <c r="E2" s="4" t="n"/>
      <c r="F2" s="13" t="inlineStr">
        <is>
          <t>Không Nghỉ</t>
        </is>
      </c>
      <c r="G2" s="14" t="inlineStr">
        <is>
          <t>Đúng Hẹn</t>
        </is>
      </c>
      <c r="H2" s="14" t="inlineStr">
        <is>
          <t>Bài Đẹp</t>
        </is>
      </c>
      <c r="I2" s="14" t="inlineStr">
        <is>
          <t>Khá Lên</t>
        </is>
      </c>
      <c r="J2" s="15" t="inlineStr">
        <is>
          <t>Lên Tay</t>
        </is>
      </c>
      <c r="K2" s="15" t="inlineStr">
        <is>
          <t>Lên Bảng</t>
        </is>
      </c>
      <c r="L2" s="15" t="inlineStr">
        <is>
          <t>Vững Bước</t>
        </is>
      </c>
      <c r="M2" s="16" t="inlineStr">
        <is>
          <t>Dạn Dày</t>
        </is>
      </c>
      <c r="N2" s="16" t="inlineStr">
        <is>
          <t>Tốp Đầu</t>
        </is>
      </c>
      <c r="O2" s="16" t="inlineStr">
        <is>
          <t>Bứt Phá</t>
        </is>
      </c>
      <c r="P2" s="17" t="inlineStr">
        <is>
          <t>Bền Bỉ</t>
        </is>
      </c>
      <c r="Q2" s="17" t="inlineStr">
        <is>
          <t>Tuyệt Đối</t>
        </is>
      </c>
      <c r="R2" s="17" t="inlineStr">
        <is>
          <t>Lên Tầm</t>
        </is>
      </c>
      <c r="S2" s="18" t="inlineStr">
        <is>
          <t>Khai Phá</t>
        </is>
      </c>
      <c r="T2" s="18" t="inlineStr">
        <is>
          <t>Kho Dạng</t>
        </is>
      </c>
      <c r="U2" s="18" t="inlineStr">
        <is>
          <t>Lấp Lỗ</t>
        </is>
      </c>
      <c r="V2" s="19" t="inlineStr">
        <is>
          <t>Leo Rank</t>
        </is>
      </c>
      <c r="W2" s="19" t="inlineStr">
        <is>
          <t>Vượt Lên</t>
        </is>
      </c>
      <c r="X2" s="20" t="inlineStr">
        <is>
          <t>Về Đích</t>
        </is>
      </c>
      <c r="Y2" s="21" t="inlineStr">
        <is>
          <t>Lớp Vô Địch</t>
        </is>
      </c>
      <c r="Z2" s="22" t="inlineStr">
        <is>
          <t>Thám Tử Đề</t>
        </is>
      </c>
      <c r="AA2" s="22" t="inlineStr">
        <is>
          <t>Thần May Mắn</t>
        </is>
      </c>
      <c r="AB2" s="22" t="inlineStr">
        <is>
          <t>Lội Ngược Dòng</t>
        </is>
      </c>
      <c r="AC2" s="22" t="inlineStr">
        <is>
          <t>Chạm Đáy Bật Lên</t>
        </is>
      </c>
    </row>
    <row r="3">
      <c r="A3" s="4" t="n"/>
      <c r="B3" s="4" t="n"/>
      <c r="C3" s="4" t="n"/>
      <c r="D3" s="4" t="n"/>
      <c r="E3" s="4" t="n"/>
      <c r="F3" s="23" t="inlineStr">
        <is>
          <t>KN</t>
        </is>
      </c>
      <c r="G3" s="24" t="inlineStr">
        <is>
          <t>DH</t>
        </is>
      </c>
      <c r="H3" s="24" t="inlineStr">
        <is>
          <t>BD</t>
        </is>
      </c>
      <c r="I3" s="24" t="inlineStr">
        <is>
          <t>KL</t>
        </is>
      </c>
      <c r="J3" s="25" t="inlineStr">
        <is>
          <t>LT</t>
        </is>
      </c>
      <c r="K3" s="25" t="inlineStr">
        <is>
          <t>LB</t>
        </is>
      </c>
      <c r="L3" s="25" t="inlineStr">
        <is>
          <t>VB</t>
        </is>
      </c>
      <c r="M3" s="26" t="inlineStr">
        <is>
          <t>DD</t>
        </is>
      </c>
      <c r="N3" s="26" t="inlineStr">
        <is>
          <t>TD</t>
        </is>
      </c>
      <c r="O3" s="26" t="inlineStr">
        <is>
          <t>BP</t>
        </is>
      </c>
      <c r="P3" s="27" t="inlineStr">
        <is>
          <t>BB</t>
        </is>
      </c>
      <c r="Q3" s="27" t="inlineStr">
        <is>
          <t>TDO</t>
        </is>
      </c>
      <c r="R3" s="27" t="inlineStr">
        <is>
          <t>LTA</t>
        </is>
      </c>
      <c r="S3" s="28" t="inlineStr">
        <is>
          <t>KP</t>
        </is>
      </c>
      <c r="T3" s="28" t="inlineStr">
        <is>
          <t>KD</t>
        </is>
      </c>
      <c r="U3" s="28" t="inlineStr">
        <is>
          <t>LL</t>
        </is>
      </c>
      <c r="V3" s="29" t="inlineStr">
        <is>
          <t>LR</t>
        </is>
      </c>
      <c r="W3" s="29" t="inlineStr">
        <is>
          <t>VL</t>
        </is>
      </c>
      <c r="X3" s="30" t="inlineStr">
        <is>
          <t>VD</t>
        </is>
      </c>
      <c r="Y3" s="31" t="inlineStr">
        <is>
          <t>LVD</t>
        </is>
      </c>
      <c r="Z3" s="32" t="inlineStr">
        <is>
          <t>TTD</t>
        </is>
      </c>
      <c r="AA3" s="32" t="inlineStr">
        <is>
          <t>TMM</t>
        </is>
      </c>
      <c r="AB3" s="32" t="inlineStr">
        <is>
          <t>LND</t>
        </is>
      </c>
      <c r="AC3" s="32" t="inlineStr">
        <is>
          <t>CDBL</t>
        </is>
      </c>
    </row>
    <row r="4">
      <c r="A4" s="33" t="inlineStr">
        <is>
          <t>1 · Chuyên cần — thành tựu CHÍNH (điều kiện đơn của 1★–3★, ngưỡng cao của 4★–5★)</t>
        </is>
      </c>
    </row>
    <row r="5">
      <c r="A5" s="34" t="inlineStr">
        <is>
          <t>KN-1</t>
        </is>
      </c>
      <c r="B5" s="35" t="inlineStr">
        <is>
          <t>Chuỗi buổi có mặt liên tục ≥ 10 buổi</t>
        </is>
      </c>
      <c r="C5" s="36" t="inlineStr">
        <is>
          <t>trọn đời</t>
        </is>
      </c>
      <c r="D5" s="36" t="inlineStr">
        <is>
          <t>buoi_hoc_hs.diem_danh</t>
        </is>
      </c>
      <c r="E5" s="37">
        <f>COUNTA(F5:AC5)</f>
        <v/>
      </c>
      <c r="F5" s="38" t="inlineStr">
        <is>
          <t>★1</t>
        </is>
      </c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</row>
    <row r="6">
      <c r="A6" s="34" t="inlineStr">
        <is>
          <t>KN-2</t>
        </is>
      </c>
      <c r="B6" s="35" t="inlineStr">
        <is>
          <t>Chuỗi buổi có mặt liên tục ≥ 30 buổi</t>
        </is>
      </c>
      <c r="C6" s="36" t="inlineStr">
        <is>
          <t>trọn đời</t>
        </is>
      </c>
      <c r="D6" s="36" t="inlineStr">
        <is>
          <t>buoi_hoc_hs.diem_danh</t>
        </is>
      </c>
      <c r="E6" s="37">
        <f>COUNTA(F6:AC6)</f>
        <v/>
      </c>
      <c r="F6" s="38" t="inlineStr">
        <is>
          <t>★2</t>
        </is>
      </c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</row>
    <row r="7">
      <c r="A7" s="34" t="inlineStr">
        <is>
          <t>KN-3</t>
        </is>
      </c>
      <c r="B7" s="35" t="inlineStr">
        <is>
          <t>Chuỗi buổi có mặt liên tục ≥ 60 buổi</t>
        </is>
      </c>
      <c r="C7" s="36" t="inlineStr">
        <is>
          <t>trọn đời</t>
        </is>
      </c>
      <c r="D7" s="36" t="inlineStr">
        <is>
          <t>buoi_hoc_hs.diem_danh</t>
        </is>
      </c>
      <c r="E7" s="37">
        <f>COUNTA(F7:AC7)</f>
        <v/>
      </c>
      <c r="F7" s="38" t="inlineStr">
        <is>
          <t>★3</t>
        </is>
      </c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</row>
    <row r="8">
      <c r="A8" s="34" t="inlineStr">
        <is>
          <t>KN-4</t>
        </is>
      </c>
      <c r="B8" s="35" t="inlineStr">
        <is>
          <t>Chuỗi buổi có mặt liên tục ≥ 90 buổi</t>
        </is>
      </c>
      <c r="C8" s="36" t="inlineStr">
        <is>
          <t>trọn đời</t>
        </is>
      </c>
      <c r="D8" s="36" t="inlineStr">
        <is>
          <t>buoi_hoc_hs.diem_danh</t>
        </is>
      </c>
      <c r="E8" s="37">
        <f>COUNTA(F8:AC8)</f>
        <v/>
      </c>
      <c r="F8" s="40" t="inlineStr">
        <is>
          <t>★4</t>
        </is>
      </c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</row>
    <row r="9">
      <c r="A9" s="34" t="inlineStr">
        <is>
          <t>KN-5</t>
        </is>
      </c>
      <c r="B9" s="35" t="inlineStr">
        <is>
          <t>Chuỗi buổi có mặt liên tục ≥ 150 buổi</t>
        </is>
      </c>
      <c r="C9" s="36" t="inlineStr">
        <is>
          <t>trọn đời</t>
        </is>
      </c>
      <c r="D9" s="36" t="inlineStr">
        <is>
          <t>buoi_hoc_hs.diem_danh</t>
        </is>
      </c>
      <c r="E9" s="37">
        <f>COUNTA(F9:AC9)</f>
        <v/>
      </c>
      <c r="F9" s="40" t="inlineStr">
        <is>
          <t>★5</t>
        </is>
      </c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</row>
    <row r="10">
      <c r="A10" s="41" t="inlineStr">
        <is>
          <t>2 · Bài về nhà — thành tựu CHÍNH (điều kiện đơn của 1★–3★, ngưỡng cao của 4★–5★)</t>
        </is>
      </c>
    </row>
    <row r="11">
      <c r="A11" s="34" t="inlineStr">
        <is>
          <t>DH-1</t>
        </is>
      </c>
      <c r="B11" s="35" t="inlineStr">
        <is>
          <t>Chuỗi bài BTVN nộp đủ, đúng hạn ≥ 10 bài</t>
        </is>
      </c>
      <c r="C11" s="36" t="inlineStr">
        <is>
          <t>trọn đời</t>
        </is>
      </c>
      <c r="D11" s="36" t="inlineStr">
        <is>
          <t>btvn_ket_qua.trang_thai_nop</t>
        </is>
      </c>
      <c r="E11" s="37">
        <f>COUNTA(F11:AC11)</f>
        <v/>
      </c>
      <c r="F11" s="39" t="n"/>
      <c r="G11" s="38" t="inlineStr">
        <is>
          <t>★1</t>
        </is>
      </c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</row>
    <row r="12">
      <c r="A12" s="34" t="inlineStr">
        <is>
          <t>DH-2</t>
        </is>
      </c>
      <c r="B12" s="35" t="inlineStr">
        <is>
          <t>Chuỗi bài BTVN nộp đủ, đúng hạn ≥ 30 bài</t>
        </is>
      </c>
      <c r="C12" s="36" t="inlineStr">
        <is>
          <t>trọn đời</t>
        </is>
      </c>
      <c r="D12" s="36" t="inlineStr">
        <is>
          <t>btvn_ket_qua.trang_thai_nop</t>
        </is>
      </c>
      <c r="E12" s="37">
        <f>COUNTA(F12:AC12)</f>
        <v/>
      </c>
      <c r="F12" s="39" t="n"/>
      <c r="G12" s="38" t="inlineStr">
        <is>
          <t>★2</t>
        </is>
      </c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</row>
    <row r="13">
      <c r="A13" s="34" t="inlineStr">
        <is>
          <t>DH-3</t>
        </is>
      </c>
      <c r="B13" s="35" t="inlineStr">
        <is>
          <t>Chuỗi bài BTVN nộp đủ, đúng hạn ≥ 60 bài</t>
        </is>
      </c>
      <c r="C13" s="36" t="inlineStr">
        <is>
          <t>trọn đời</t>
        </is>
      </c>
      <c r="D13" s="36" t="inlineStr">
        <is>
          <t>btvn_ket_qua.trang_thai_nop</t>
        </is>
      </c>
      <c r="E13" s="37">
        <f>COUNTA(F13:AC13)</f>
        <v/>
      </c>
      <c r="F13" s="39" t="n"/>
      <c r="G13" s="38" t="inlineStr">
        <is>
          <t>★3</t>
        </is>
      </c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</row>
    <row r="14">
      <c r="A14" s="34" t="inlineStr">
        <is>
          <t>DH-4</t>
        </is>
      </c>
      <c r="B14" s="35" t="inlineStr">
        <is>
          <t>Chuỗi bài BTVN nộp đủ, đúng hạn ≥ 90 bài</t>
        </is>
      </c>
      <c r="C14" s="36" t="inlineStr">
        <is>
          <t>trọn đời</t>
        </is>
      </c>
      <c r="D14" s="36" t="inlineStr">
        <is>
          <t>btvn_ket_qua.trang_thai_nop</t>
        </is>
      </c>
      <c r="E14" s="37">
        <f>COUNTA(F14:AC14)</f>
        <v/>
      </c>
      <c r="F14" s="39" t="n"/>
      <c r="G14" s="40" t="inlineStr">
        <is>
          <t>★4</t>
        </is>
      </c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</row>
    <row r="15">
      <c r="A15" s="34" t="inlineStr">
        <is>
          <t>DH-5</t>
        </is>
      </c>
      <c r="B15" s="35" t="inlineStr">
        <is>
          <t>Chuỗi bài BTVN nộp đủ, đúng hạn ≥ 150 bài</t>
        </is>
      </c>
      <c r="C15" s="36" t="inlineStr">
        <is>
          <t>trọn đời</t>
        </is>
      </c>
      <c r="D15" s="36" t="inlineStr">
        <is>
          <t>btvn_ket_qua.trang_thai_nop</t>
        </is>
      </c>
      <c r="E15" s="37">
        <f>COUNTA(F15:AC15)</f>
        <v/>
      </c>
      <c r="F15" s="39" t="n"/>
      <c r="G15" s="40" t="inlineStr">
        <is>
          <t>★5</t>
        </is>
      </c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</row>
    <row r="16">
      <c r="A16" s="34" t="inlineStr">
        <is>
          <t>BD-1</t>
        </is>
      </c>
      <c r="B16" s="35" t="inlineStr">
        <is>
          <t>Số bài BTVN đúng ≥ 90% ≥ 5 bài</t>
        </is>
      </c>
      <c r="C16" s="36" t="inlineStr">
        <is>
          <t>trọn đời</t>
        </is>
      </c>
      <c r="D16" s="36" t="inlineStr">
        <is>
          <t>btvn_ket_qua.ti_le_dung</t>
        </is>
      </c>
      <c r="E16" s="37">
        <f>COUNTA(F16:AC16)</f>
        <v/>
      </c>
      <c r="F16" s="39" t="n"/>
      <c r="G16" s="39" t="n"/>
      <c r="H16" s="38" t="inlineStr">
        <is>
          <t>★1</t>
        </is>
      </c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</row>
    <row r="17">
      <c r="A17" s="34" t="inlineStr">
        <is>
          <t>BD-2</t>
        </is>
      </c>
      <c r="B17" s="35" t="inlineStr">
        <is>
          <t>Số bài BTVN đúng ≥ 90% ≥ 20 bài</t>
        </is>
      </c>
      <c r="C17" s="36" t="inlineStr">
        <is>
          <t>trọn đời</t>
        </is>
      </c>
      <c r="D17" s="36" t="inlineStr">
        <is>
          <t>btvn_ket_qua.ti_le_dung</t>
        </is>
      </c>
      <c r="E17" s="37">
        <f>COUNTA(F17:AC17)</f>
        <v/>
      </c>
      <c r="F17" s="39" t="n"/>
      <c r="G17" s="39" t="n"/>
      <c r="H17" s="38" t="inlineStr">
        <is>
          <t>★2</t>
        </is>
      </c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</row>
    <row r="18">
      <c r="A18" s="34" t="inlineStr">
        <is>
          <t>BD-3</t>
        </is>
      </c>
      <c r="B18" s="35" t="inlineStr">
        <is>
          <t>Số bài BTVN đúng ≥ 90% ≥ 50 bài</t>
        </is>
      </c>
      <c r="C18" s="36" t="inlineStr">
        <is>
          <t>trọn đời</t>
        </is>
      </c>
      <c r="D18" s="36" t="inlineStr">
        <is>
          <t>btvn_ket_qua.ti_le_dung</t>
        </is>
      </c>
      <c r="E18" s="37">
        <f>COUNTA(F18:AC18)</f>
        <v/>
      </c>
      <c r="F18" s="39" t="n"/>
      <c r="G18" s="39" t="n"/>
      <c r="H18" s="38" t="inlineStr">
        <is>
          <t>★3</t>
        </is>
      </c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</row>
    <row r="19">
      <c r="A19" s="34" t="inlineStr">
        <is>
          <t>BD-4</t>
        </is>
      </c>
      <c r="B19" s="35" t="inlineStr">
        <is>
          <t>Số bài BTVN đúng ≥ 90% ≥ 75 bài</t>
        </is>
      </c>
      <c r="C19" s="36" t="inlineStr">
        <is>
          <t>trọn đời</t>
        </is>
      </c>
      <c r="D19" s="36" t="inlineStr">
        <is>
          <t>btvn_ket_qua.ti_le_dung</t>
        </is>
      </c>
      <c r="E19" s="37">
        <f>COUNTA(F19:AC19)</f>
        <v/>
      </c>
      <c r="F19" s="39" t="n"/>
      <c r="G19" s="39" t="n"/>
      <c r="H19" s="40" t="inlineStr">
        <is>
          <t>★4</t>
        </is>
      </c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</row>
    <row r="20">
      <c r="A20" s="34" t="inlineStr">
        <is>
          <t>BD-5</t>
        </is>
      </c>
      <c r="B20" s="35" t="inlineStr">
        <is>
          <t>Số bài BTVN đúng ≥ 90% ≥ 110 bài</t>
        </is>
      </c>
      <c r="C20" s="36" t="inlineStr">
        <is>
          <t>trọn đời</t>
        </is>
      </c>
      <c r="D20" s="36" t="inlineStr">
        <is>
          <t>btvn_ket_qua.ti_le_dung</t>
        </is>
      </c>
      <c r="E20" s="37">
        <f>COUNTA(F20:AC20)</f>
        <v/>
      </c>
      <c r="F20" s="39" t="n"/>
      <c r="G20" s="39" t="n"/>
      <c r="H20" s="40" t="inlineStr">
        <is>
          <t>★5</t>
        </is>
      </c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</row>
    <row r="21">
      <c r="A21" s="34" t="inlineStr">
        <is>
          <t>KL-1</t>
        </is>
      </c>
      <c r="B21" s="35" t="inlineStr">
        <is>
          <t>Số tháng tỉ lệ đúng BTVN tăng (hoặc giữ ≥ 90%) ≥ 1 tháng</t>
        </is>
      </c>
      <c r="C21" s="36" t="inlineStr">
        <is>
          <t>trọn đời</t>
        </is>
      </c>
      <c r="D21" s="36" t="inlineStr">
        <is>
          <t>btvn_ket_qua.ti_le_dung</t>
        </is>
      </c>
      <c r="E21" s="37">
        <f>COUNTA(F21:AC21)</f>
        <v/>
      </c>
      <c r="F21" s="39" t="n"/>
      <c r="G21" s="39" t="n"/>
      <c r="H21" s="39" t="n"/>
      <c r="I21" s="38" t="inlineStr">
        <is>
          <t>★1</t>
        </is>
      </c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</row>
    <row r="22">
      <c r="A22" s="34" t="inlineStr">
        <is>
          <t>KL-2</t>
        </is>
      </c>
      <c r="B22" s="35" t="inlineStr">
        <is>
          <t>Số tháng tỉ lệ đúng BTVN tăng (hoặc giữ ≥ 90%) ≥ 3 tháng</t>
        </is>
      </c>
      <c r="C22" s="36" t="inlineStr">
        <is>
          <t>trọn đời</t>
        </is>
      </c>
      <c r="D22" s="36" t="inlineStr">
        <is>
          <t>btvn_ket_qua.ti_le_dung</t>
        </is>
      </c>
      <c r="E22" s="37">
        <f>COUNTA(F22:AC22)</f>
        <v/>
      </c>
      <c r="F22" s="39" t="n"/>
      <c r="G22" s="39" t="n"/>
      <c r="H22" s="39" t="n"/>
      <c r="I22" s="38" t="inlineStr">
        <is>
          <t>★2</t>
        </is>
      </c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</row>
    <row r="23">
      <c r="A23" s="34" t="inlineStr">
        <is>
          <t>KL-3</t>
        </is>
      </c>
      <c r="B23" s="35" t="inlineStr">
        <is>
          <t>Số tháng tỉ lệ đúng BTVN tăng (hoặc giữ ≥ 90%) ≥ 6 tháng</t>
        </is>
      </c>
      <c r="C23" s="36" t="inlineStr">
        <is>
          <t>trọn đời</t>
        </is>
      </c>
      <c r="D23" s="36" t="inlineStr">
        <is>
          <t>btvn_ket_qua.ti_le_dung</t>
        </is>
      </c>
      <c r="E23" s="37">
        <f>COUNTA(F23:AC23)</f>
        <v/>
      </c>
      <c r="F23" s="39" t="n"/>
      <c r="G23" s="39" t="n"/>
      <c r="H23" s="39" t="n"/>
      <c r="I23" s="38" t="inlineStr">
        <is>
          <t>★3</t>
        </is>
      </c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</row>
    <row r="24">
      <c r="A24" s="34" t="inlineStr">
        <is>
          <t>KL-4</t>
        </is>
      </c>
      <c r="B24" s="35" t="inlineStr">
        <is>
          <t>Số tháng tỉ lệ đúng BTVN tăng (hoặc giữ ≥ 90%) ≥ 8 tháng</t>
        </is>
      </c>
      <c r="C24" s="36" t="inlineStr">
        <is>
          <t>trọn đời</t>
        </is>
      </c>
      <c r="D24" s="36" t="inlineStr">
        <is>
          <t>btvn_ket_qua.ti_le_dung</t>
        </is>
      </c>
      <c r="E24" s="37">
        <f>COUNTA(F24:AC24)</f>
        <v/>
      </c>
      <c r="F24" s="39" t="n"/>
      <c r="G24" s="39" t="n"/>
      <c r="H24" s="39" t="n"/>
      <c r="I24" s="40" t="inlineStr">
        <is>
          <t>★4</t>
        </is>
      </c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</row>
    <row r="25">
      <c r="A25" s="34" t="inlineStr">
        <is>
          <t>KL-5</t>
        </is>
      </c>
      <c r="B25" s="35" t="inlineStr">
        <is>
          <t>Số tháng tỉ lệ đúng BTVN tăng (hoặc giữ ≥ 90%) ≥ 10 tháng</t>
        </is>
      </c>
      <c r="C25" s="36" t="inlineStr">
        <is>
          <t>trọn đời</t>
        </is>
      </c>
      <c r="D25" s="36" t="inlineStr">
        <is>
          <t>btvn_ket_qua.ti_le_dung</t>
        </is>
      </c>
      <c r="E25" s="37">
        <f>COUNTA(F25:AC25)</f>
        <v/>
      </c>
      <c r="F25" s="39" t="n"/>
      <c r="G25" s="39" t="n"/>
      <c r="H25" s="39" t="n"/>
      <c r="I25" s="40" t="inlineStr">
        <is>
          <t>★5</t>
        </is>
      </c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</row>
    <row r="26">
      <c r="A26" s="42" t="inlineStr">
        <is>
          <t>3 · Trên lớp — thành tựu CHÍNH (điều kiện đơn của 1★–3★, ngưỡng cao của 4★–5★)</t>
        </is>
      </c>
    </row>
    <row r="27">
      <c r="A27" s="34" t="inlineStr">
        <is>
          <t>LT-1</t>
        </is>
      </c>
      <c r="B27" s="35" t="inlineStr">
        <is>
          <t>Số bài ET đúng ≥ 80% ≥ 3 bài</t>
        </is>
      </c>
      <c r="C27" s="36" t="inlineStr">
        <is>
          <t>trọn đời</t>
        </is>
      </c>
      <c r="D27" s="36" t="inlineStr">
        <is>
          <t>gami_grades (phase et)</t>
        </is>
      </c>
      <c r="E27" s="37">
        <f>COUNTA(F27:AC27)</f>
        <v/>
      </c>
      <c r="F27" s="39" t="n"/>
      <c r="G27" s="39" t="n"/>
      <c r="H27" s="39" t="n"/>
      <c r="I27" s="39" t="n"/>
      <c r="J27" s="38" t="inlineStr">
        <is>
          <t>★1</t>
        </is>
      </c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</row>
    <row r="28">
      <c r="A28" s="34" t="inlineStr">
        <is>
          <t>LT-2</t>
        </is>
      </c>
      <c r="B28" s="35" t="inlineStr">
        <is>
          <t>Số bài ET đúng ≥ 80% ≥ 15 bài</t>
        </is>
      </c>
      <c r="C28" s="36" t="inlineStr">
        <is>
          <t>trọn đời</t>
        </is>
      </c>
      <c r="D28" s="36" t="inlineStr">
        <is>
          <t>gami_grades (phase et)</t>
        </is>
      </c>
      <c r="E28" s="37">
        <f>COUNTA(F28:AC28)</f>
        <v/>
      </c>
      <c r="F28" s="39" t="n"/>
      <c r="G28" s="39" t="n"/>
      <c r="H28" s="39" t="n"/>
      <c r="I28" s="39" t="n"/>
      <c r="J28" s="38" t="inlineStr">
        <is>
          <t>★2</t>
        </is>
      </c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</row>
    <row r="29">
      <c r="A29" s="34" t="inlineStr">
        <is>
          <t>LT-3</t>
        </is>
      </c>
      <c r="B29" s="35" t="inlineStr">
        <is>
          <t>Số bài ET đúng ≥ 80% ≥ 40 bài</t>
        </is>
      </c>
      <c r="C29" s="36" t="inlineStr">
        <is>
          <t>trọn đời</t>
        </is>
      </c>
      <c r="D29" s="36" t="inlineStr">
        <is>
          <t>gami_grades (phase et)</t>
        </is>
      </c>
      <c r="E29" s="37">
        <f>COUNTA(F29:AC29)</f>
        <v/>
      </c>
      <c r="F29" s="39" t="n"/>
      <c r="G29" s="39" t="n"/>
      <c r="H29" s="39" t="n"/>
      <c r="I29" s="39" t="n"/>
      <c r="J29" s="38" t="inlineStr">
        <is>
          <t>★3</t>
        </is>
      </c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</row>
    <row r="30">
      <c r="A30" s="34" t="inlineStr">
        <is>
          <t>LT-4</t>
        </is>
      </c>
      <c r="B30" s="35" t="inlineStr">
        <is>
          <t>Số bài ET đúng ≥ 80% ≥ 60 bài</t>
        </is>
      </c>
      <c r="C30" s="36" t="inlineStr">
        <is>
          <t>trọn đời</t>
        </is>
      </c>
      <c r="D30" s="36" t="inlineStr">
        <is>
          <t>gami_grades (phase et)</t>
        </is>
      </c>
      <c r="E30" s="37">
        <f>COUNTA(F30:AC30)</f>
        <v/>
      </c>
      <c r="F30" s="39" t="n"/>
      <c r="G30" s="39" t="n"/>
      <c r="H30" s="39" t="n"/>
      <c r="I30" s="39" t="n"/>
      <c r="J30" s="40" t="inlineStr">
        <is>
          <t>★4</t>
        </is>
      </c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</row>
    <row r="31">
      <c r="A31" s="34" t="inlineStr">
        <is>
          <t>LT-5</t>
        </is>
      </c>
      <c r="B31" s="35" t="inlineStr">
        <is>
          <t>Số bài ET đúng ≥ 80% ≥ 90 bài</t>
        </is>
      </c>
      <c r="C31" s="36" t="inlineStr">
        <is>
          <t>trọn đời</t>
        </is>
      </c>
      <c r="D31" s="36" t="inlineStr">
        <is>
          <t>gami_grades (phase et)</t>
        </is>
      </c>
      <c r="E31" s="37">
        <f>COUNTA(F31:AC31)</f>
        <v/>
      </c>
      <c r="F31" s="39" t="n"/>
      <c r="G31" s="39" t="n"/>
      <c r="H31" s="39" t="n"/>
      <c r="I31" s="39" t="n"/>
      <c r="J31" s="40" t="inlineStr">
        <is>
          <t>★5</t>
        </is>
      </c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</row>
    <row r="32">
      <c r="A32" s="34" t="inlineStr">
        <is>
          <t>LB-1</t>
        </is>
      </c>
      <c r="B32" s="35" t="inlineStr">
        <is>
          <t>Số lần vào Nhất / Nhì / Giải 3 xếp hạng buổi ≥ 3 lần</t>
        </is>
      </c>
      <c r="C32" s="36" t="inlineStr">
        <is>
          <t>trọn đời</t>
        </is>
      </c>
      <c r="D32" s="36" t="inlineStr">
        <is>
          <t>buoi_giai</t>
        </is>
      </c>
      <c r="E32" s="37">
        <f>COUNTA(F32:AC32)</f>
        <v/>
      </c>
      <c r="F32" s="39" t="n"/>
      <c r="G32" s="39" t="n"/>
      <c r="H32" s="39" t="n"/>
      <c r="I32" s="39" t="n"/>
      <c r="J32" s="39" t="n"/>
      <c r="K32" s="38" t="inlineStr">
        <is>
          <t>★1</t>
        </is>
      </c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</row>
    <row r="33">
      <c r="A33" s="34" t="inlineStr">
        <is>
          <t>LB-2</t>
        </is>
      </c>
      <c r="B33" s="35" t="inlineStr">
        <is>
          <t>Số lần vào Nhất / Nhì / Giải 3 xếp hạng buổi ≥ 15 lần</t>
        </is>
      </c>
      <c r="C33" s="36" t="inlineStr">
        <is>
          <t>trọn đời</t>
        </is>
      </c>
      <c r="D33" s="36" t="inlineStr">
        <is>
          <t>buoi_giai</t>
        </is>
      </c>
      <c r="E33" s="37">
        <f>COUNTA(F33:AC33)</f>
        <v/>
      </c>
      <c r="F33" s="39" t="n"/>
      <c r="G33" s="39" t="n"/>
      <c r="H33" s="39" t="n"/>
      <c r="I33" s="39" t="n"/>
      <c r="J33" s="39" t="n"/>
      <c r="K33" s="38" t="inlineStr">
        <is>
          <t>★2</t>
        </is>
      </c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</row>
    <row r="34">
      <c r="A34" s="34" t="inlineStr">
        <is>
          <t>LB-3</t>
        </is>
      </c>
      <c r="B34" s="35" t="inlineStr">
        <is>
          <t>Số lần vào Nhất / Nhì / Giải 3 xếp hạng buổi ≥ 40 lần</t>
        </is>
      </c>
      <c r="C34" s="36" t="inlineStr">
        <is>
          <t>trọn đời</t>
        </is>
      </c>
      <c r="D34" s="36" t="inlineStr">
        <is>
          <t>buoi_giai</t>
        </is>
      </c>
      <c r="E34" s="37">
        <f>COUNTA(F34:AC34)</f>
        <v/>
      </c>
      <c r="F34" s="39" t="n"/>
      <c r="G34" s="39" t="n"/>
      <c r="H34" s="39" t="n"/>
      <c r="I34" s="39" t="n"/>
      <c r="J34" s="39" t="n"/>
      <c r="K34" s="38" t="inlineStr">
        <is>
          <t>★3</t>
        </is>
      </c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</row>
    <row r="35">
      <c r="A35" s="34" t="inlineStr">
        <is>
          <t>LB-4</t>
        </is>
      </c>
      <c r="B35" s="35" t="inlineStr">
        <is>
          <t>Số lần vào Nhất / Nhì / Giải 3 xếp hạng buổi ≥ 60 lần</t>
        </is>
      </c>
      <c r="C35" s="36" t="inlineStr">
        <is>
          <t>trọn đời</t>
        </is>
      </c>
      <c r="D35" s="36" t="inlineStr">
        <is>
          <t>buoi_giai</t>
        </is>
      </c>
      <c r="E35" s="37">
        <f>COUNTA(F35:AC35)</f>
        <v/>
      </c>
      <c r="F35" s="39" t="n"/>
      <c r="G35" s="39" t="n"/>
      <c r="H35" s="39" t="n"/>
      <c r="I35" s="39" t="n"/>
      <c r="J35" s="39" t="n"/>
      <c r="K35" s="40" t="inlineStr">
        <is>
          <t>★4</t>
        </is>
      </c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</row>
    <row r="36">
      <c r="A36" s="34" t="inlineStr">
        <is>
          <t>LB-5</t>
        </is>
      </c>
      <c r="B36" s="35" t="inlineStr">
        <is>
          <t>Số lần vào Nhất / Nhì / Giải 3 xếp hạng buổi ≥ 90 lần</t>
        </is>
      </c>
      <c r="C36" s="36" t="inlineStr">
        <is>
          <t>trọn đời</t>
        </is>
      </c>
      <c r="D36" s="36" t="inlineStr">
        <is>
          <t>buoi_giai</t>
        </is>
      </c>
      <c r="E36" s="37">
        <f>COUNTA(F36:AC36)</f>
        <v/>
      </c>
      <c r="F36" s="39" t="n"/>
      <c r="G36" s="39" t="n"/>
      <c r="H36" s="39" t="n"/>
      <c r="I36" s="39" t="n"/>
      <c r="J36" s="39" t="n"/>
      <c r="K36" s="40" t="inlineStr">
        <is>
          <t>★5</t>
        </is>
      </c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</row>
    <row r="37">
      <c r="A37" s="34" t="inlineStr">
        <is>
          <t>VB-1</t>
        </is>
      </c>
      <c r="B37" s="35" t="inlineStr">
        <is>
          <t>Số tháng ET tốt hơn tháng trước (hoặc giữ ≥ 90%) ≥ 1 tháng</t>
        </is>
      </c>
      <c r="C37" s="36" t="inlineStr">
        <is>
          <t>trọn đời</t>
        </is>
      </c>
      <c r="D37" s="36" t="inlineStr">
        <is>
          <t>gami_grades (phase et)</t>
        </is>
      </c>
      <c r="E37" s="37">
        <f>COUNTA(F37:AC37)</f>
        <v/>
      </c>
      <c r="F37" s="39" t="n"/>
      <c r="G37" s="39" t="n"/>
      <c r="H37" s="39" t="n"/>
      <c r="I37" s="39" t="n"/>
      <c r="J37" s="39" t="n"/>
      <c r="K37" s="39" t="n"/>
      <c r="L37" s="38" t="inlineStr">
        <is>
          <t>★1</t>
        </is>
      </c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</row>
    <row r="38">
      <c r="A38" s="34" t="inlineStr">
        <is>
          <t>VB-2</t>
        </is>
      </c>
      <c r="B38" s="35" t="inlineStr">
        <is>
          <t>Số tháng ET tốt hơn tháng trước (hoặc giữ ≥ 90%) ≥ 3 tháng</t>
        </is>
      </c>
      <c r="C38" s="36" t="inlineStr">
        <is>
          <t>trọn đời</t>
        </is>
      </c>
      <c r="D38" s="36" t="inlineStr">
        <is>
          <t>gami_grades (phase et)</t>
        </is>
      </c>
      <c r="E38" s="37">
        <f>COUNTA(F38:AC38)</f>
        <v/>
      </c>
      <c r="F38" s="39" t="n"/>
      <c r="G38" s="39" t="n"/>
      <c r="H38" s="39" t="n"/>
      <c r="I38" s="39" t="n"/>
      <c r="J38" s="39" t="n"/>
      <c r="K38" s="39" t="n"/>
      <c r="L38" s="38" t="inlineStr">
        <is>
          <t>★2</t>
        </is>
      </c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</row>
    <row r="39">
      <c r="A39" s="34" t="inlineStr">
        <is>
          <t>VB-3</t>
        </is>
      </c>
      <c r="B39" s="35" t="inlineStr">
        <is>
          <t>Số tháng ET tốt hơn tháng trước (hoặc giữ ≥ 90%) ≥ 6 tháng</t>
        </is>
      </c>
      <c r="C39" s="36" t="inlineStr">
        <is>
          <t>trọn đời</t>
        </is>
      </c>
      <c r="D39" s="36" t="inlineStr">
        <is>
          <t>gami_grades (phase et)</t>
        </is>
      </c>
      <c r="E39" s="37">
        <f>COUNTA(F39:AC39)</f>
        <v/>
      </c>
      <c r="F39" s="39" t="n"/>
      <c r="G39" s="39" t="n"/>
      <c r="H39" s="39" t="n"/>
      <c r="I39" s="39" t="n"/>
      <c r="J39" s="39" t="n"/>
      <c r="K39" s="39" t="n"/>
      <c r="L39" s="38" t="inlineStr">
        <is>
          <t>★3</t>
        </is>
      </c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</row>
    <row r="40">
      <c r="A40" s="34" t="inlineStr">
        <is>
          <t>VB-4</t>
        </is>
      </c>
      <c r="B40" s="35" t="inlineStr">
        <is>
          <t>Số tháng ET tốt hơn tháng trước (hoặc giữ ≥ 90%) ≥ 8 tháng</t>
        </is>
      </c>
      <c r="C40" s="36" t="inlineStr">
        <is>
          <t>trọn đời</t>
        </is>
      </c>
      <c r="D40" s="36" t="inlineStr">
        <is>
          <t>gami_grades (phase et)</t>
        </is>
      </c>
      <c r="E40" s="37">
        <f>COUNTA(F40:AC40)</f>
        <v/>
      </c>
      <c r="F40" s="39" t="n"/>
      <c r="G40" s="39" t="n"/>
      <c r="H40" s="39" t="n"/>
      <c r="I40" s="39" t="n"/>
      <c r="J40" s="39" t="n"/>
      <c r="K40" s="39" t="n"/>
      <c r="L40" s="40" t="inlineStr">
        <is>
          <t>★4</t>
        </is>
      </c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</row>
    <row r="41">
      <c r="A41" s="34" t="inlineStr">
        <is>
          <t>VB-5</t>
        </is>
      </c>
      <c r="B41" s="35" t="inlineStr">
        <is>
          <t>Số tháng ET tốt hơn tháng trước (hoặc giữ ≥ 90%) ≥ 10 tháng</t>
        </is>
      </c>
      <c r="C41" s="36" t="inlineStr">
        <is>
          <t>trọn đời</t>
        </is>
      </c>
      <c r="D41" s="36" t="inlineStr">
        <is>
          <t>gami_grades (phase et)</t>
        </is>
      </c>
      <c r="E41" s="37">
        <f>COUNTA(F41:AC41)</f>
        <v/>
      </c>
      <c r="F41" s="39" t="n"/>
      <c r="G41" s="39" t="n"/>
      <c r="H41" s="39" t="n"/>
      <c r="I41" s="39" t="n"/>
      <c r="J41" s="39" t="n"/>
      <c r="K41" s="39" t="n"/>
      <c r="L41" s="40" t="inlineStr">
        <is>
          <t>★5</t>
        </is>
      </c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</row>
    <row r="42">
      <c r="A42" s="43" t="inlineStr">
        <is>
          <t>4 · Thi (MT) — thành tựu CHÍNH (điều kiện đơn của 1★–3★, ngưỡng cao của 4★–5★)</t>
        </is>
      </c>
    </row>
    <row r="43">
      <c r="A43" s="34" t="inlineStr">
        <is>
          <t>DD-1</t>
        </is>
      </c>
      <c r="B43" s="35" t="inlineStr">
        <is>
          <t>Số kỳ MT đã dự (kể cả thi lại) ≥ 1 kỳ</t>
        </is>
      </c>
      <c r="C43" s="36" t="inlineStr">
        <is>
          <t>trọn đời</t>
        </is>
      </c>
      <c r="D43" s="36" t="inlineStr">
        <is>
          <t>diem_thi (mt_sat_hach)</t>
        </is>
      </c>
      <c r="E43" s="37">
        <f>COUNTA(F43:AC43)</f>
        <v/>
      </c>
      <c r="F43" s="39" t="n"/>
      <c r="G43" s="39" t="n"/>
      <c r="H43" s="39" t="n"/>
      <c r="I43" s="39" t="n"/>
      <c r="J43" s="39" t="n"/>
      <c r="K43" s="39" t="n"/>
      <c r="L43" s="39" t="n"/>
      <c r="M43" s="38" t="inlineStr">
        <is>
          <t>★1</t>
        </is>
      </c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</row>
    <row r="44">
      <c r="A44" s="34" t="inlineStr">
        <is>
          <t>DD-2</t>
        </is>
      </c>
      <c r="B44" s="35" t="inlineStr">
        <is>
          <t>Số kỳ MT đã dự (kể cả thi lại) ≥ 4 kỳ</t>
        </is>
      </c>
      <c r="C44" s="36" t="inlineStr">
        <is>
          <t>trọn đời</t>
        </is>
      </c>
      <c r="D44" s="36" t="inlineStr">
        <is>
          <t>diem_thi (mt_sat_hach)</t>
        </is>
      </c>
      <c r="E44" s="37">
        <f>COUNTA(F44:AC44)</f>
        <v/>
      </c>
      <c r="F44" s="39" t="n"/>
      <c r="G44" s="39" t="n"/>
      <c r="H44" s="39" t="n"/>
      <c r="I44" s="39" t="n"/>
      <c r="J44" s="39" t="n"/>
      <c r="K44" s="39" t="n"/>
      <c r="L44" s="39" t="n"/>
      <c r="M44" s="38" t="inlineStr">
        <is>
          <t>★2</t>
        </is>
      </c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</row>
    <row r="45">
      <c r="A45" s="34" t="inlineStr">
        <is>
          <t>DD-3</t>
        </is>
      </c>
      <c r="B45" s="35" t="inlineStr">
        <is>
          <t>Số kỳ MT đã dự (kể cả thi lại) ≥ 8 kỳ</t>
        </is>
      </c>
      <c r="C45" s="36" t="inlineStr">
        <is>
          <t>trọn đời</t>
        </is>
      </c>
      <c r="D45" s="36" t="inlineStr">
        <is>
          <t>diem_thi (mt_sat_hach)</t>
        </is>
      </c>
      <c r="E45" s="37">
        <f>COUNTA(F45:AC45)</f>
        <v/>
      </c>
      <c r="F45" s="39" t="n"/>
      <c r="G45" s="39" t="n"/>
      <c r="H45" s="39" t="n"/>
      <c r="I45" s="39" t="n"/>
      <c r="J45" s="39" t="n"/>
      <c r="K45" s="39" t="n"/>
      <c r="L45" s="39" t="n"/>
      <c r="M45" s="38" t="inlineStr">
        <is>
          <t>★3</t>
        </is>
      </c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</row>
    <row r="46">
      <c r="A46" s="34" t="inlineStr">
        <is>
          <t>DD-4</t>
        </is>
      </c>
      <c r="B46" s="35" t="inlineStr">
        <is>
          <t>Số kỳ MT đã dự (kể cả thi lại) ≥ 10 kỳ</t>
        </is>
      </c>
      <c r="C46" s="36" t="inlineStr">
        <is>
          <t>trọn đời</t>
        </is>
      </c>
      <c r="D46" s="36" t="inlineStr">
        <is>
          <t>diem_thi (mt_sat_hach)</t>
        </is>
      </c>
      <c r="E46" s="37">
        <f>COUNTA(F46:AC46)</f>
        <v/>
      </c>
      <c r="F46" s="39" t="n"/>
      <c r="G46" s="39" t="n"/>
      <c r="H46" s="39" t="n"/>
      <c r="I46" s="39" t="n"/>
      <c r="J46" s="39" t="n"/>
      <c r="K46" s="39" t="n"/>
      <c r="L46" s="39" t="n"/>
      <c r="M46" s="40" t="inlineStr">
        <is>
          <t>★4</t>
        </is>
      </c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</row>
    <row r="47">
      <c r="A47" s="34" t="inlineStr">
        <is>
          <t>DD-5</t>
        </is>
      </c>
      <c r="B47" s="35" t="inlineStr">
        <is>
          <t>Số kỳ MT đã dự (kể cả thi lại) ≥ 15 kỳ</t>
        </is>
      </c>
      <c r="C47" s="36" t="inlineStr">
        <is>
          <t>trọn đời</t>
        </is>
      </c>
      <c r="D47" s="36" t="inlineStr">
        <is>
          <t>diem_thi (mt_sat_hach)</t>
        </is>
      </c>
      <c r="E47" s="37">
        <f>COUNTA(F47:AC47)</f>
        <v/>
      </c>
      <c r="F47" s="39" t="n"/>
      <c r="G47" s="39" t="n"/>
      <c r="H47" s="39" t="n"/>
      <c r="I47" s="39" t="n"/>
      <c r="J47" s="39" t="n"/>
      <c r="K47" s="39" t="n"/>
      <c r="L47" s="39" t="n"/>
      <c r="M47" s="40" t="inlineStr">
        <is>
          <t>★5</t>
        </is>
      </c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</row>
    <row r="48">
      <c r="A48" s="34" t="inlineStr">
        <is>
          <t>TD-1</t>
        </is>
      </c>
      <c r="B48" s="35" t="inlineStr">
        <is>
          <t>Số lần MT top 30% khối ≥ 1 lần</t>
        </is>
      </c>
      <c r="C48" s="36" t="inlineStr">
        <is>
          <t>trọn đời</t>
        </is>
      </c>
      <c r="D48" s="36" t="inlineStr">
        <is>
          <t>fn_bxh_diem_mt_khoi</t>
        </is>
      </c>
      <c r="E48" s="37">
        <f>COUNTA(F48:AC48)</f>
        <v/>
      </c>
      <c r="F48" s="39" t="n"/>
      <c r="G48" s="39" t="n"/>
      <c r="H48" s="39" t="n"/>
      <c r="I48" s="39" t="n"/>
      <c r="J48" s="39" t="n"/>
      <c r="K48" s="39" t="n"/>
      <c r="L48" s="39" t="n"/>
      <c r="M48" s="39" t="n"/>
      <c r="N48" s="38" t="inlineStr">
        <is>
          <t>★1</t>
        </is>
      </c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</row>
    <row r="49">
      <c r="A49" s="34" t="inlineStr">
        <is>
          <t>TD-2</t>
        </is>
      </c>
      <c r="B49" s="35" t="inlineStr">
        <is>
          <t>Số lần MT top 30% khối ≥ 3 lần</t>
        </is>
      </c>
      <c r="C49" s="36" t="inlineStr">
        <is>
          <t>trọn đời</t>
        </is>
      </c>
      <c r="D49" s="36" t="inlineStr">
        <is>
          <t>fn_bxh_diem_mt_khoi</t>
        </is>
      </c>
      <c r="E49" s="37">
        <f>COUNTA(F49:AC49)</f>
        <v/>
      </c>
      <c r="F49" s="39" t="n"/>
      <c r="G49" s="39" t="n"/>
      <c r="H49" s="39" t="n"/>
      <c r="I49" s="39" t="n"/>
      <c r="J49" s="39" t="n"/>
      <c r="K49" s="39" t="n"/>
      <c r="L49" s="39" t="n"/>
      <c r="M49" s="39" t="n"/>
      <c r="N49" s="38" t="inlineStr">
        <is>
          <t>★2</t>
        </is>
      </c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</row>
    <row r="50">
      <c r="A50" s="34" t="inlineStr">
        <is>
          <t>TD-3</t>
        </is>
      </c>
      <c r="B50" s="35" t="inlineStr">
        <is>
          <t>Số lần MT top 30% khối ≥ 6 lần</t>
        </is>
      </c>
      <c r="C50" s="36" t="inlineStr">
        <is>
          <t>trọn đời</t>
        </is>
      </c>
      <c r="D50" s="36" t="inlineStr">
        <is>
          <t>fn_bxh_diem_mt_khoi</t>
        </is>
      </c>
      <c r="E50" s="37">
        <f>COUNTA(F50:AC50)</f>
        <v/>
      </c>
      <c r="F50" s="39" t="n"/>
      <c r="G50" s="39" t="n"/>
      <c r="H50" s="39" t="n"/>
      <c r="I50" s="39" t="n"/>
      <c r="J50" s="39" t="n"/>
      <c r="K50" s="39" t="n"/>
      <c r="L50" s="39" t="n"/>
      <c r="M50" s="39" t="n"/>
      <c r="N50" s="38" t="inlineStr">
        <is>
          <t>★3</t>
        </is>
      </c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</row>
    <row r="51">
      <c r="A51" s="34" t="inlineStr">
        <is>
          <t>TD-4</t>
        </is>
      </c>
      <c r="B51" s="35" t="inlineStr">
        <is>
          <t>Số lần MT top 30% khối ≥ 8 lần</t>
        </is>
      </c>
      <c r="C51" s="36" t="inlineStr">
        <is>
          <t>trọn đời</t>
        </is>
      </c>
      <c r="D51" s="36" t="inlineStr">
        <is>
          <t>fn_bxh_diem_mt_khoi</t>
        </is>
      </c>
      <c r="E51" s="37">
        <f>COUNTA(F51:AC51)</f>
        <v/>
      </c>
      <c r="F51" s="39" t="n"/>
      <c r="G51" s="39" t="n"/>
      <c r="H51" s="39" t="n"/>
      <c r="I51" s="39" t="n"/>
      <c r="J51" s="39" t="n"/>
      <c r="K51" s="39" t="n"/>
      <c r="L51" s="39" t="n"/>
      <c r="M51" s="39" t="n"/>
      <c r="N51" s="40" t="inlineStr">
        <is>
          <t>★4</t>
        </is>
      </c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</row>
    <row r="52">
      <c r="A52" s="34" t="inlineStr">
        <is>
          <t>TD-5</t>
        </is>
      </c>
      <c r="B52" s="35" t="inlineStr">
        <is>
          <t>Số lần MT top 30% khối ≥ 10 lần</t>
        </is>
      </c>
      <c r="C52" s="36" t="inlineStr">
        <is>
          <t>trọn đời</t>
        </is>
      </c>
      <c r="D52" s="36" t="inlineStr">
        <is>
          <t>fn_bxh_diem_mt_khoi</t>
        </is>
      </c>
      <c r="E52" s="37">
        <f>COUNTA(F52:AC52)</f>
        <v/>
      </c>
      <c r="F52" s="39" t="n"/>
      <c r="G52" s="39" t="n"/>
      <c r="H52" s="39" t="n"/>
      <c r="I52" s="39" t="n"/>
      <c r="J52" s="39" t="n"/>
      <c r="K52" s="39" t="n"/>
      <c r="L52" s="39" t="n"/>
      <c r="M52" s="39" t="n"/>
      <c r="N52" s="40" t="inlineStr">
        <is>
          <t>★5</t>
        </is>
      </c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</row>
    <row r="53">
      <c r="A53" s="34" t="inlineStr">
        <is>
          <t>BP-1</t>
        </is>
      </c>
      <c r="B53" s="35" t="inlineStr">
        <is>
          <t>Số lần hạng MT tăng (hoặc giữ top 10%) ≥ 1 lần</t>
        </is>
      </c>
      <c r="C53" s="36" t="inlineStr">
        <is>
          <t>trọn đời</t>
        </is>
      </c>
      <c r="D53" s="36" t="inlineStr">
        <is>
          <t>fn_bxh_diem_mt_khoi</t>
        </is>
      </c>
      <c r="E53" s="37">
        <f>COUNTA(F53:AC53)</f>
        <v/>
      </c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8" t="inlineStr">
        <is>
          <t>★1</t>
        </is>
      </c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</row>
    <row r="54">
      <c r="A54" s="34" t="inlineStr">
        <is>
          <t>BP-2</t>
        </is>
      </c>
      <c r="B54" s="35" t="inlineStr">
        <is>
          <t>Số lần hạng MT tăng (hoặc giữ top 10%) ≥ 3 lần</t>
        </is>
      </c>
      <c r="C54" s="36" t="inlineStr">
        <is>
          <t>trọn đời</t>
        </is>
      </c>
      <c r="D54" s="36" t="inlineStr">
        <is>
          <t>fn_bxh_diem_mt_khoi</t>
        </is>
      </c>
      <c r="E54" s="37">
        <f>COUNTA(F54:AC54)</f>
        <v/>
      </c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8" t="inlineStr">
        <is>
          <t>★2</t>
        </is>
      </c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</row>
    <row r="55">
      <c r="A55" s="34" t="inlineStr">
        <is>
          <t>BP-3</t>
        </is>
      </c>
      <c r="B55" s="35" t="inlineStr">
        <is>
          <t>Số lần hạng MT tăng (hoặc giữ top 10%) ≥ 6 lần</t>
        </is>
      </c>
      <c r="C55" s="36" t="inlineStr">
        <is>
          <t>trọn đời</t>
        </is>
      </c>
      <c r="D55" s="36" t="inlineStr">
        <is>
          <t>fn_bxh_diem_mt_khoi</t>
        </is>
      </c>
      <c r="E55" s="37">
        <f>COUNTA(F55:AC55)</f>
        <v/>
      </c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8" t="inlineStr">
        <is>
          <t>★3</t>
        </is>
      </c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</row>
    <row r="56">
      <c r="A56" s="34" t="inlineStr">
        <is>
          <t>BP-4</t>
        </is>
      </c>
      <c r="B56" s="35" t="inlineStr">
        <is>
          <t>Số lần hạng MT tăng (hoặc giữ top 10%) ≥ 8 lần</t>
        </is>
      </c>
      <c r="C56" s="36" t="inlineStr">
        <is>
          <t>trọn đời</t>
        </is>
      </c>
      <c r="D56" s="36" t="inlineStr">
        <is>
          <t>fn_bxh_diem_mt_khoi</t>
        </is>
      </c>
      <c r="E56" s="37">
        <f>COUNTA(F56:AC56)</f>
        <v/>
      </c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40" t="inlineStr">
        <is>
          <t>★4</t>
        </is>
      </c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</row>
    <row r="57">
      <c r="A57" s="34" t="inlineStr">
        <is>
          <t>BP-5</t>
        </is>
      </c>
      <c r="B57" s="35" t="inlineStr">
        <is>
          <t>Số lần hạng MT tăng (hoặc giữ top 10%) ≥ 10 lần</t>
        </is>
      </c>
      <c r="C57" s="36" t="inlineStr">
        <is>
          <t>trọn đời</t>
        </is>
      </c>
      <c r="D57" s="36" t="inlineStr">
        <is>
          <t>fn_bxh_diem_mt_khoi</t>
        </is>
      </c>
      <c r="E57" s="37">
        <f>COUNTA(F57:AC57)</f>
        <v/>
      </c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40" t="inlineStr">
        <is>
          <t>★5</t>
        </is>
      </c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</row>
    <row r="58">
      <c r="A58" s="44" t="inlineStr">
        <is>
          <t>5 · Thử thách — thành tựu CHÍNH (điều kiện đơn của 1★–3★, ngưỡng cao của 4★–5★)</t>
        </is>
      </c>
    </row>
    <row r="59">
      <c r="A59" s="34" t="inlineStr">
        <is>
          <t>BB-1</t>
        </is>
      </c>
      <c r="B59" s="35" t="inlineStr">
        <is>
          <t>Tổng số ngày pass Thử thách ≥ 10 ngày</t>
        </is>
      </c>
      <c r="C59" s="36" t="inlineStr">
        <is>
          <t>trọn đời</t>
        </is>
      </c>
      <c r="D59" s="36" t="inlineStr">
        <is>
          <t>lượt Thử thách</t>
        </is>
      </c>
      <c r="E59" s="37">
        <f>COUNTA(F59:AC59)</f>
        <v/>
      </c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8" t="inlineStr">
        <is>
          <t>★1</t>
        </is>
      </c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</row>
    <row r="60">
      <c r="A60" s="34" t="inlineStr">
        <is>
          <t>BB-2</t>
        </is>
      </c>
      <c r="B60" s="35" t="inlineStr">
        <is>
          <t>Tổng số ngày pass Thử thách ≥ 40 ngày</t>
        </is>
      </c>
      <c r="C60" s="36" t="inlineStr">
        <is>
          <t>trọn đời</t>
        </is>
      </c>
      <c r="D60" s="36" t="inlineStr">
        <is>
          <t>lượt Thử thách</t>
        </is>
      </c>
      <c r="E60" s="37">
        <f>COUNTA(F60:AC60)</f>
        <v/>
      </c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8" t="inlineStr">
        <is>
          <t>★2</t>
        </is>
      </c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</row>
    <row r="61">
      <c r="A61" s="34" t="inlineStr">
        <is>
          <t>BB-3</t>
        </is>
      </c>
      <c r="B61" s="35" t="inlineStr">
        <is>
          <t>Tổng số ngày pass Thử thách ≥ 100 ngày</t>
        </is>
      </c>
      <c r="C61" s="36" t="inlineStr">
        <is>
          <t>trọn đời</t>
        </is>
      </c>
      <c r="D61" s="36" t="inlineStr">
        <is>
          <t>lượt Thử thách</t>
        </is>
      </c>
      <c r="E61" s="37">
        <f>COUNTA(F61:AC61)</f>
        <v/>
      </c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8" t="inlineStr">
        <is>
          <t>★3</t>
        </is>
      </c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</row>
    <row r="62">
      <c r="A62" s="34" t="inlineStr">
        <is>
          <t>BB-4</t>
        </is>
      </c>
      <c r="B62" s="35" t="inlineStr">
        <is>
          <t>Tổng số ngày pass Thử thách ≥ 150 ngày</t>
        </is>
      </c>
      <c r="C62" s="36" t="inlineStr">
        <is>
          <t>trọn đời</t>
        </is>
      </c>
      <c r="D62" s="36" t="inlineStr">
        <is>
          <t>lượt Thử thách</t>
        </is>
      </c>
      <c r="E62" s="37">
        <f>COUNTA(F62:AC62)</f>
        <v/>
      </c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40" t="inlineStr">
        <is>
          <t>★4</t>
        </is>
      </c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</row>
    <row r="63">
      <c r="A63" s="34" t="inlineStr">
        <is>
          <t>BB-5</t>
        </is>
      </c>
      <c r="B63" s="35" t="inlineStr">
        <is>
          <t>Tổng số ngày pass Thử thách ≥ 250 ngày</t>
        </is>
      </c>
      <c r="C63" s="36" t="inlineStr">
        <is>
          <t>trọn đời</t>
        </is>
      </c>
      <c r="D63" s="36" t="inlineStr">
        <is>
          <t>lượt Thử thách</t>
        </is>
      </c>
      <c r="E63" s="37">
        <f>COUNTA(F63:AC63)</f>
        <v/>
      </c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40" t="inlineStr">
        <is>
          <t>★5</t>
        </is>
      </c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</row>
    <row r="64">
      <c r="A64" s="34" t="inlineStr">
        <is>
          <t>TDO-1</t>
        </is>
      </c>
      <c r="B64" s="35" t="inlineStr">
        <is>
          <t>Số lượt Thử thách 10/10 ≥ 5 lượt</t>
        </is>
      </c>
      <c r="C64" s="36" t="inlineStr">
        <is>
          <t>trọn đời</t>
        </is>
      </c>
      <c r="D64" s="36" t="inlineStr">
        <is>
          <t>lượt Thử thách</t>
        </is>
      </c>
      <c r="E64" s="37">
        <f>COUNTA(F64:AC64)</f>
        <v/>
      </c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8" t="inlineStr">
        <is>
          <t>★1</t>
        </is>
      </c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</row>
    <row r="65">
      <c r="A65" s="34" t="inlineStr">
        <is>
          <t>TDO-2</t>
        </is>
      </c>
      <c r="B65" s="35" t="inlineStr">
        <is>
          <t>Số lượt Thử thách 10/10 ≥ 25 lượt</t>
        </is>
      </c>
      <c r="C65" s="36" t="inlineStr">
        <is>
          <t>trọn đời</t>
        </is>
      </c>
      <c r="D65" s="36" t="inlineStr">
        <is>
          <t>lượt Thử thách</t>
        </is>
      </c>
      <c r="E65" s="37">
        <f>COUNTA(F65:AC65)</f>
        <v/>
      </c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8" t="inlineStr">
        <is>
          <t>★2</t>
        </is>
      </c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</row>
    <row r="66">
      <c r="A66" s="34" t="inlineStr">
        <is>
          <t>TDO-3</t>
        </is>
      </c>
      <c r="B66" s="35" t="inlineStr">
        <is>
          <t>Số lượt Thử thách 10/10 ≥ 80 lượt</t>
        </is>
      </c>
      <c r="C66" s="36" t="inlineStr">
        <is>
          <t>trọn đời</t>
        </is>
      </c>
      <c r="D66" s="36" t="inlineStr">
        <is>
          <t>lượt Thử thách</t>
        </is>
      </c>
      <c r="E66" s="37">
        <f>COUNTA(F66:AC66)</f>
        <v/>
      </c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8" t="inlineStr">
        <is>
          <t>★3</t>
        </is>
      </c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</row>
    <row r="67">
      <c r="A67" s="34" t="inlineStr">
        <is>
          <t>TDO-4</t>
        </is>
      </c>
      <c r="B67" s="35" t="inlineStr">
        <is>
          <t>Số lượt Thử thách 10/10 ≥ 120 lượt</t>
        </is>
      </c>
      <c r="C67" s="36" t="inlineStr">
        <is>
          <t>trọn đời</t>
        </is>
      </c>
      <c r="D67" s="36" t="inlineStr">
        <is>
          <t>lượt Thử thách</t>
        </is>
      </c>
      <c r="E67" s="37">
        <f>COUNTA(F67:AC67)</f>
        <v/>
      </c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40" t="inlineStr">
        <is>
          <t>★4</t>
        </is>
      </c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</row>
    <row r="68">
      <c r="A68" s="34" t="inlineStr">
        <is>
          <t>TDO-5</t>
        </is>
      </c>
      <c r="B68" s="35" t="inlineStr">
        <is>
          <t>Số lượt Thử thách 10/10 ≥ 180 lượt</t>
        </is>
      </c>
      <c r="C68" s="36" t="inlineStr">
        <is>
          <t>trọn đời</t>
        </is>
      </c>
      <c r="D68" s="36" t="inlineStr">
        <is>
          <t>lượt Thử thách</t>
        </is>
      </c>
      <c r="E68" s="37">
        <f>COUNTA(F68:AC68)</f>
        <v/>
      </c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40" t="inlineStr">
        <is>
          <t>★5</t>
        </is>
      </c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</row>
    <row r="69">
      <c r="A69" s="34" t="inlineStr">
        <is>
          <t>LTA-1</t>
        </is>
      </c>
      <c r="B69" s="35" t="inlineStr">
        <is>
          <t>Số tháng tỉ lệ pass Thử thách tăng (hoặc giữ ≥ 90%) ≥ 1 tháng</t>
        </is>
      </c>
      <c r="C69" s="36" t="inlineStr">
        <is>
          <t>trọn đời</t>
        </is>
      </c>
      <c r="D69" s="36" t="inlineStr">
        <is>
          <t>lượt Thử thách</t>
        </is>
      </c>
      <c r="E69" s="37">
        <f>COUNTA(F69:AC69)</f>
        <v/>
      </c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8" t="inlineStr">
        <is>
          <t>★1</t>
        </is>
      </c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</row>
    <row r="70">
      <c r="A70" s="34" t="inlineStr">
        <is>
          <t>LTA-2</t>
        </is>
      </c>
      <c r="B70" s="35" t="inlineStr">
        <is>
          <t>Số tháng tỉ lệ pass Thử thách tăng (hoặc giữ ≥ 90%) ≥ 3 tháng</t>
        </is>
      </c>
      <c r="C70" s="36" t="inlineStr">
        <is>
          <t>trọn đời</t>
        </is>
      </c>
      <c r="D70" s="36" t="inlineStr">
        <is>
          <t>lượt Thử thách</t>
        </is>
      </c>
      <c r="E70" s="37">
        <f>COUNTA(F70:AC70)</f>
        <v/>
      </c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8" t="inlineStr">
        <is>
          <t>★2</t>
        </is>
      </c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</row>
    <row r="71">
      <c r="A71" s="34" t="inlineStr">
        <is>
          <t>LTA-3</t>
        </is>
      </c>
      <c r="B71" s="35" t="inlineStr">
        <is>
          <t>Số tháng tỉ lệ pass Thử thách tăng (hoặc giữ ≥ 90%) ≥ 6 tháng</t>
        </is>
      </c>
      <c r="C71" s="36" t="inlineStr">
        <is>
          <t>trọn đời</t>
        </is>
      </c>
      <c r="D71" s="36" t="inlineStr">
        <is>
          <t>lượt Thử thách</t>
        </is>
      </c>
      <c r="E71" s="37">
        <f>COUNTA(F71:AC71)</f>
        <v/>
      </c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8" t="inlineStr">
        <is>
          <t>★3</t>
        </is>
      </c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</row>
    <row r="72">
      <c r="A72" s="34" t="inlineStr">
        <is>
          <t>LTA-4</t>
        </is>
      </c>
      <c r="B72" s="35" t="inlineStr">
        <is>
          <t>Số tháng tỉ lệ pass Thử thách tăng (hoặc giữ ≥ 90%) ≥ 8 tháng</t>
        </is>
      </c>
      <c r="C72" s="36" t="inlineStr">
        <is>
          <t>trọn đời</t>
        </is>
      </c>
      <c r="D72" s="36" t="inlineStr">
        <is>
          <t>lượt Thử thách</t>
        </is>
      </c>
      <c r="E72" s="37">
        <f>COUNTA(F72:AC72)</f>
        <v/>
      </c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40" t="inlineStr">
        <is>
          <t>★4</t>
        </is>
      </c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</row>
    <row r="73">
      <c r="A73" s="34" t="inlineStr">
        <is>
          <t>LTA-5</t>
        </is>
      </c>
      <c r="B73" s="35" t="inlineStr">
        <is>
          <t>Số tháng tỉ lệ pass Thử thách tăng (hoặc giữ ≥ 90%) ≥ 10 tháng</t>
        </is>
      </c>
      <c r="C73" s="36" t="inlineStr">
        <is>
          <t>trọn đời</t>
        </is>
      </c>
      <c r="D73" s="36" t="inlineStr">
        <is>
          <t>lượt Thử thách</t>
        </is>
      </c>
      <c r="E73" s="37">
        <f>COUNTA(F73:AC73)</f>
        <v/>
      </c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40" t="inlineStr">
        <is>
          <t>★5</t>
        </is>
      </c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</row>
    <row r="74">
      <c r="A74" s="45" t="inlineStr">
        <is>
          <t>6 · Chinh phục dạng — thành tựu CHÍNH (điều kiện đơn của 1★–3★, ngưỡng cao của 4★–5★)</t>
        </is>
      </c>
    </row>
    <row r="75">
      <c r="A75" s="34" t="inlineStr">
        <is>
          <t>KP-1</t>
        </is>
      </c>
      <c r="B75" s="35" t="inlineStr">
        <is>
          <t>Số dạng đã luyện ≥ 5 câu ≥ 10 dạng</t>
        </is>
      </c>
      <c r="C75" s="36" t="inlineStr">
        <is>
          <t>trọn đời</t>
        </is>
      </c>
      <c r="D75" s="36" t="inlineStr">
        <is>
          <t>bai_lam_cau × ma_dang</t>
        </is>
      </c>
      <c r="E75" s="37">
        <f>COUNTA(F75:AC75)</f>
        <v/>
      </c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8" t="inlineStr">
        <is>
          <t>★1</t>
        </is>
      </c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</row>
    <row r="76">
      <c r="A76" s="34" t="inlineStr">
        <is>
          <t>KP-2</t>
        </is>
      </c>
      <c r="B76" s="35" t="inlineStr">
        <is>
          <t>Số dạng đã luyện ≥ 5 câu ≥ 30 dạng</t>
        </is>
      </c>
      <c r="C76" s="36" t="inlineStr">
        <is>
          <t>trọn đời</t>
        </is>
      </c>
      <c r="D76" s="36" t="inlineStr">
        <is>
          <t>bai_lam_cau × ma_dang</t>
        </is>
      </c>
      <c r="E76" s="37">
        <f>COUNTA(F76:AC76)</f>
        <v/>
      </c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8" t="inlineStr">
        <is>
          <t>★2</t>
        </is>
      </c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</row>
    <row r="77">
      <c r="A77" s="34" t="inlineStr">
        <is>
          <t>KP-3</t>
        </is>
      </c>
      <c r="B77" s="35" t="inlineStr">
        <is>
          <t>Số dạng đã luyện ≥ 5 câu ≥ 60 dạng</t>
        </is>
      </c>
      <c r="C77" s="36" t="inlineStr">
        <is>
          <t>trọn đời</t>
        </is>
      </c>
      <c r="D77" s="36" t="inlineStr">
        <is>
          <t>bai_lam_cau × ma_dang</t>
        </is>
      </c>
      <c r="E77" s="37">
        <f>COUNTA(F77:AC77)</f>
        <v/>
      </c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8" t="inlineStr">
        <is>
          <t>★3</t>
        </is>
      </c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</row>
    <row r="78">
      <c r="A78" s="34" t="inlineStr">
        <is>
          <t>KP-4</t>
        </is>
      </c>
      <c r="B78" s="35" t="inlineStr">
        <is>
          <t>Số dạng đã luyện ≥ 5 câu ≥ 90 dạng</t>
        </is>
      </c>
      <c r="C78" s="36" t="inlineStr">
        <is>
          <t>trọn đời</t>
        </is>
      </c>
      <c r="D78" s="36" t="inlineStr">
        <is>
          <t>bai_lam_cau × ma_dang</t>
        </is>
      </c>
      <c r="E78" s="37">
        <f>COUNTA(F78:AC78)</f>
        <v/>
      </c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40" t="inlineStr">
        <is>
          <t>★4</t>
        </is>
      </c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</row>
    <row r="79">
      <c r="A79" s="34" t="inlineStr">
        <is>
          <t>KP-5</t>
        </is>
      </c>
      <c r="B79" s="35" t="inlineStr">
        <is>
          <t>Số dạng đã luyện ≥ 5 câu ≥ 130 dạng</t>
        </is>
      </c>
      <c r="C79" s="36" t="inlineStr">
        <is>
          <t>trọn đời</t>
        </is>
      </c>
      <c r="D79" s="36" t="inlineStr">
        <is>
          <t>bai_lam_cau × ma_dang</t>
        </is>
      </c>
      <c r="E79" s="37">
        <f>COUNTA(F79:AC79)</f>
        <v/>
      </c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40" t="inlineStr">
        <is>
          <t>★5</t>
        </is>
      </c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</row>
    <row r="80">
      <c r="A80" s="34" t="inlineStr">
        <is>
          <t>KD-1</t>
        </is>
      </c>
      <c r="B80" s="35" t="inlineStr">
        <is>
          <t>Số dạng đạt ≥ 5 dạng</t>
        </is>
      </c>
      <c r="C80" s="36" t="inlineStr">
        <is>
          <t>trọn đời</t>
        </is>
      </c>
      <c r="D80" s="36" t="inlineStr">
        <is>
          <t>fn_mastery_cells</t>
        </is>
      </c>
      <c r="E80" s="37">
        <f>COUNTA(F80:AC80)</f>
        <v/>
      </c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8" t="inlineStr">
        <is>
          <t>★1</t>
        </is>
      </c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</row>
    <row r="81">
      <c r="A81" s="34" t="inlineStr">
        <is>
          <t>KD-2</t>
        </is>
      </c>
      <c r="B81" s="35" t="inlineStr">
        <is>
          <t>Số dạng đạt ≥ 20 dạng</t>
        </is>
      </c>
      <c r="C81" s="36" t="inlineStr">
        <is>
          <t>trọn đời</t>
        </is>
      </c>
      <c r="D81" s="36" t="inlineStr">
        <is>
          <t>fn_mastery_cells</t>
        </is>
      </c>
      <c r="E81" s="37">
        <f>COUNTA(F81:AC81)</f>
        <v/>
      </c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8" t="inlineStr">
        <is>
          <t>★2</t>
        </is>
      </c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</row>
    <row r="82">
      <c r="A82" s="34" t="inlineStr">
        <is>
          <t>KD-3</t>
        </is>
      </c>
      <c r="B82" s="35" t="inlineStr">
        <is>
          <t>Số dạng đạt ≥ 50 dạng</t>
        </is>
      </c>
      <c r="C82" s="36" t="inlineStr">
        <is>
          <t>trọn đời</t>
        </is>
      </c>
      <c r="D82" s="36" t="inlineStr">
        <is>
          <t>fn_mastery_cells</t>
        </is>
      </c>
      <c r="E82" s="37">
        <f>COUNTA(F82:AC82)</f>
        <v/>
      </c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8" t="inlineStr">
        <is>
          <t>★3</t>
        </is>
      </c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</row>
    <row r="83">
      <c r="A83" s="34" t="inlineStr">
        <is>
          <t>KD-4</t>
        </is>
      </c>
      <c r="B83" s="35" t="inlineStr">
        <is>
          <t>Số dạng đạt ≥ 75 dạng</t>
        </is>
      </c>
      <c r="C83" s="36" t="inlineStr">
        <is>
          <t>trọn đời</t>
        </is>
      </c>
      <c r="D83" s="36" t="inlineStr">
        <is>
          <t>fn_mastery_cells</t>
        </is>
      </c>
      <c r="E83" s="37">
        <f>COUNTA(F83:AC83)</f>
        <v/>
      </c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40" t="inlineStr">
        <is>
          <t>★4</t>
        </is>
      </c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</row>
    <row r="84">
      <c r="A84" s="34" t="inlineStr">
        <is>
          <t>KD-5</t>
        </is>
      </c>
      <c r="B84" s="35" t="inlineStr">
        <is>
          <t>Số dạng đạt ≥ 100 dạng</t>
        </is>
      </c>
      <c r="C84" s="36" t="inlineStr">
        <is>
          <t>trọn đời</t>
        </is>
      </c>
      <c r="D84" s="36" t="inlineStr">
        <is>
          <t>fn_mastery_cells</t>
        </is>
      </c>
      <c r="E84" s="37">
        <f>COUNTA(F84:AC84)</f>
        <v/>
      </c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40" t="inlineStr">
        <is>
          <t>★5</t>
        </is>
      </c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</row>
    <row r="85">
      <c r="A85" s="34" t="inlineStr">
        <is>
          <t>LL-1</t>
        </is>
      </c>
      <c r="B85" s="35" t="inlineStr">
        <is>
          <t>Số dạng từ yếu → đạt ≥ 1 dạng</t>
        </is>
      </c>
      <c r="C85" s="36" t="inlineStr">
        <is>
          <t>trọn đời</t>
        </is>
      </c>
      <c r="D85" s="36" t="inlineStr">
        <is>
          <t>fn_mastery_cells</t>
        </is>
      </c>
      <c r="E85" s="37">
        <f>COUNTA(F85:AC85)</f>
        <v/>
      </c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8" t="inlineStr">
        <is>
          <t>★1</t>
        </is>
      </c>
      <c r="V85" s="39" t="n"/>
      <c r="W85" s="39" t="n"/>
      <c r="X85" s="39" t="n"/>
      <c r="Y85" s="39" t="n"/>
      <c r="Z85" s="39" t="n"/>
      <c r="AA85" s="39" t="n"/>
      <c r="AB85" s="39" t="n"/>
      <c r="AC85" s="39" t="n"/>
    </row>
    <row r="86">
      <c r="A86" s="34" t="inlineStr">
        <is>
          <t>LL-2</t>
        </is>
      </c>
      <c r="B86" s="35" t="inlineStr">
        <is>
          <t>Số dạng từ yếu → đạt ≥ 5 dạng</t>
        </is>
      </c>
      <c r="C86" s="36" t="inlineStr">
        <is>
          <t>trọn đời</t>
        </is>
      </c>
      <c r="D86" s="36" t="inlineStr">
        <is>
          <t>fn_mastery_cells</t>
        </is>
      </c>
      <c r="E86" s="37">
        <f>COUNTA(F86:AC86)</f>
        <v/>
      </c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8" t="inlineStr">
        <is>
          <t>★2</t>
        </is>
      </c>
      <c r="V86" s="39" t="n"/>
      <c r="W86" s="39" t="n"/>
      <c r="X86" s="39" t="n"/>
      <c r="Y86" s="39" t="n"/>
      <c r="Z86" s="39" t="n"/>
      <c r="AA86" s="39" t="n"/>
      <c r="AB86" s="39" t="n"/>
      <c r="AC86" s="39" t="n"/>
    </row>
    <row r="87">
      <c r="A87" s="34" t="inlineStr">
        <is>
          <t>LL-3</t>
        </is>
      </c>
      <c r="B87" s="35" t="inlineStr">
        <is>
          <t>Số dạng từ yếu → đạt ≥ 15 dạng</t>
        </is>
      </c>
      <c r="C87" s="36" t="inlineStr">
        <is>
          <t>trọn đời</t>
        </is>
      </c>
      <c r="D87" s="36" t="inlineStr">
        <is>
          <t>fn_mastery_cells</t>
        </is>
      </c>
      <c r="E87" s="37">
        <f>COUNTA(F87:AC87)</f>
        <v/>
      </c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8" t="inlineStr">
        <is>
          <t>★3</t>
        </is>
      </c>
      <c r="V87" s="39" t="n"/>
      <c r="W87" s="39" t="n"/>
      <c r="X87" s="39" t="n"/>
      <c r="Y87" s="39" t="n"/>
      <c r="Z87" s="39" t="n"/>
      <c r="AA87" s="39" t="n"/>
      <c r="AB87" s="39" t="n"/>
      <c r="AC87" s="39" t="n"/>
    </row>
    <row r="88">
      <c r="A88" s="34" t="inlineStr">
        <is>
          <t>LL-4</t>
        </is>
      </c>
      <c r="B88" s="35" t="inlineStr">
        <is>
          <t>Số dạng từ yếu → đạt ≥ 25 dạng</t>
        </is>
      </c>
      <c r="C88" s="36" t="inlineStr">
        <is>
          <t>trọn đời</t>
        </is>
      </c>
      <c r="D88" s="36" t="inlineStr">
        <is>
          <t>fn_mastery_cells</t>
        </is>
      </c>
      <c r="E88" s="37">
        <f>COUNTA(F88:AC88)</f>
        <v/>
      </c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40" t="inlineStr">
        <is>
          <t>★4</t>
        </is>
      </c>
      <c r="V88" s="39" t="n"/>
      <c r="W88" s="39" t="n"/>
      <c r="X88" s="39" t="n"/>
      <c r="Y88" s="39" t="n"/>
      <c r="Z88" s="39" t="n"/>
      <c r="AA88" s="39" t="n"/>
      <c r="AB88" s="39" t="n"/>
      <c r="AC88" s="39" t="n"/>
    </row>
    <row r="89">
      <c r="A89" s="34" t="inlineStr">
        <is>
          <t>LL-5</t>
        </is>
      </c>
      <c r="B89" s="35" t="inlineStr">
        <is>
          <t>Số dạng từ yếu → đạt ≥ 40 dạng</t>
        </is>
      </c>
      <c r="C89" s="36" t="inlineStr">
        <is>
          <t>trọn đời</t>
        </is>
      </c>
      <c r="D89" s="36" t="inlineStr">
        <is>
          <t>fn_mastery_cells</t>
        </is>
      </c>
      <c r="E89" s="37">
        <f>COUNTA(F89:AC89)</f>
        <v/>
      </c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40" t="inlineStr">
        <is>
          <t>★5</t>
        </is>
      </c>
      <c r="V89" s="39" t="n"/>
      <c r="W89" s="39" t="n"/>
      <c r="X89" s="39" t="n"/>
      <c r="Y89" s="39" t="n"/>
      <c r="Z89" s="39" t="n"/>
      <c r="AA89" s="39" t="n"/>
      <c r="AB89" s="39" t="n"/>
      <c r="AC89" s="39" t="n"/>
    </row>
    <row r="90">
      <c r="A90" s="46" t="inlineStr">
        <is>
          <t>7 · Rank — thành tựu CHÍNH (điều kiện đơn của 1★–3★, ngưỡng cao của 4★–5★)</t>
        </is>
      </c>
    </row>
    <row r="91">
      <c r="A91" s="34" t="inlineStr">
        <is>
          <t>LR-1</t>
        </is>
      </c>
      <c r="B91" s="35" t="inlineStr">
        <is>
          <t>Bậc rank cao nhất trong năm ≥ Captain</t>
        </is>
      </c>
      <c r="C91" s="36" t="inlineStr">
        <is>
          <t>trong mùa (1 năm)</t>
        </is>
      </c>
      <c r="D91" s="36" t="inlineStr">
        <is>
          <t>Điểm Rank</t>
        </is>
      </c>
      <c r="E91" s="37">
        <f>COUNTA(F91:AC91)</f>
        <v/>
      </c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8" t="inlineStr">
        <is>
          <t>★1</t>
        </is>
      </c>
      <c r="W91" s="39" t="n"/>
      <c r="X91" s="39" t="n"/>
      <c r="Y91" s="39" t="n"/>
      <c r="Z91" s="39" t="n"/>
      <c r="AA91" s="39" t="n"/>
      <c r="AB91" s="39" t="n"/>
      <c r="AC91" s="39" t="n"/>
    </row>
    <row r="92">
      <c r="A92" s="34" t="inlineStr">
        <is>
          <t>LR-2</t>
        </is>
      </c>
      <c r="B92" s="35" t="inlineStr">
        <is>
          <t>Bậc rank cao nhất trong năm ≥ Hero</t>
        </is>
      </c>
      <c r="C92" s="36" t="inlineStr">
        <is>
          <t>trong mùa (1 năm)</t>
        </is>
      </c>
      <c r="D92" s="36" t="inlineStr">
        <is>
          <t>Điểm Rank</t>
        </is>
      </c>
      <c r="E92" s="37">
        <f>COUNTA(F92:AC92)</f>
        <v/>
      </c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8" t="inlineStr">
        <is>
          <t>★2</t>
        </is>
      </c>
      <c r="W92" s="39" t="n"/>
      <c r="X92" s="39" t="n"/>
      <c r="Y92" s="39" t="n"/>
      <c r="Z92" s="39" t="n"/>
      <c r="AA92" s="39" t="n"/>
      <c r="AB92" s="39" t="n"/>
      <c r="AC92" s="39" t="n"/>
    </row>
    <row r="93">
      <c r="A93" s="34" t="inlineStr">
        <is>
          <t>LR-3</t>
        </is>
      </c>
      <c r="B93" s="35" t="inlineStr">
        <is>
          <t>Bậc rank cao nhất trong năm ≥ King</t>
        </is>
      </c>
      <c r="C93" s="36" t="inlineStr">
        <is>
          <t>trong mùa (1 năm)</t>
        </is>
      </c>
      <c r="D93" s="36" t="inlineStr">
        <is>
          <t>Điểm Rank</t>
        </is>
      </c>
      <c r="E93" s="37">
        <f>COUNTA(F93:AC93)</f>
        <v/>
      </c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8" t="inlineStr">
        <is>
          <t>★3</t>
        </is>
      </c>
      <c r="W93" s="39" t="n"/>
      <c r="X93" s="39" t="n"/>
      <c r="Y93" s="39" t="n"/>
      <c r="Z93" s="39" t="n"/>
      <c r="AA93" s="39" t="n"/>
      <c r="AB93" s="39" t="n"/>
      <c r="AC93" s="39" t="n"/>
    </row>
    <row r="94">
      <c r="A94" s="34" t="inlineStr">
        <is>
          <t>LR-4</t>
        </is>
      </c>
      <c r="B94" s="35" t="inlineStr">
        <is>
          <t>Bậc rank cao nhất trong năm ≥ Emperor</t>
        </is>
      </c>
      <c r="C94" s="36" t="inlineStr">
        <is>
          <t>trong mùa (1 năm)</t>
        </is>
      </c>
      <c r="D94" s="36" t="inlineStr">
        <is>
          <t>Điểm Rank</t>
        </is>
      </c>
      <c r="E94" s="37">
        <f>COUNTA(F94:AC94)</f>
        <v/>
      </c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40" t="inlineStr">
        <is>
          <t>★4</t>
        </is>
      </c>
      <c r="W94" s="39" t="n"/>
      <c r="X94" s="39" t="n"/>
      <c r="Y94" s="39" t="n"/>
      <c r="Z94" s="39" t="n"/>
      <c r="AA94" s="39" t="n"/>
      <c r="AB94" s="39" t="n"/>
      <c r="AC94" s="39" t="n"/>
    </row>
    <row r="95">
      <c r="A95" s="34" t="inlineStr">
        <is>
          <t>LR-5</t>
        </is>
      </c>
      <c r="B95" s="35" t="inlineStr">
        <is>
          <t>Bậc rank cao nhất trong năm ≥ God of War</t>
        </is>
      </c>
      <c r="C95" s="36" t="inlineStr">
        <is>
          <t>trong mùa (1 năm)</t>
        </is>
      </c>
      <c r="D95" s="36" t="inlineStr">
        <is>
          <t>Điểm Rank</t>
        </is>
      </c>
      <c r="E95" s="37">
        <f>COUNTA(F95:AC95)</f>
        <v/>
      </c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40" t="inlineStr">
        <is>
          <t>★5</t>
        </is>
      </c>
      <c r="W95" s="39" t="n"/>
      <c r="X95" s="39" t="n"/>
      <c r="Y95" s="39" t="n"/>
      <c r="Z95" s="39" t="n"/>
      <c r="AA95" s="39" t="n"/>
      <c r="AB95" s="39" t="n"/>
      <c r="AC95" s="39" t="n"/>
    </row>
    <row r="96">
      <c r="A96" s="34" t="inlineStr">
        <is>
          <t>VL-1</t>
        </is>
      </c>
      <c r="B96" s="35" t="inlineStr">
        <is>
          <t>Số tháng tăng hạng bảng đua tháng (hoặc giữ top 10%) ≥ 1 tháng</t>
        </is>
      </c>
      <c r="C96" s="36" t="inlineStr">
        <is>
          <t>trọn đời</t>
        </is>
      </c>
      <c r="D96" s="36" t="inlineStr">
        <is>
          <t>Bảng đua tháng</t>
        </is>
      </c>
      <c r="E96" s="37">
        <f>COUNTA(F96:AC96)</f>
        <v/>
      </c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8" t="inlineStr">
        <is>
          <t>★1</t>
        </is>
      </c>
      <c r="X96" s="39" t="n"/>
      <c r="Y96" s="39" t="n"/>
      <c r="Z96" s="39" t="n"/>
      <c r="AA96" s="39" t="n"/>
      <c r="AB96" s="39" t="n"/>
      <c r="AC96" s="39" t="n"/>
    </row>
    <row r="97">
      <c r="A97" s="34" t="inlineStr">
        <is>
          <t>VL-2</t>
        </is>
      </c>
      <c r="B97" s="35" t="inlineStr">
        <is>
          <t>Số tháng tăng hạng bảng đua tháng (hoặc giữ top 10%) ≥ 3 tháng</t>
        </is>
      </c>
      <c r="C97" s="36" t="inlineStr">
        <is>
          <t>trọn đời</t>
        </is>
      </c>
      <c r="D97" s="36" t="inlineStr">
        <is>
          <t>Bảng đua tháng</t>
        </is>
      </c>
      <c r="E97" s="37">
        <f>COUNTA(F97:AC97)</f>
        <v/>
      </c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8" t="inlineStr">
        <is>
          <t>★2</t>
        </is>
      </c>
      <c r="X97" s="39" t="n"/>
      <c r="Y97" s="39" t="n"/>
      <c r="Z97" s="39" t="n"/>
      <c r="AA97" s="39" t="n"/>
      <c r="AB97" s="39" t="n"/>
      <c r="AC97" s="39" t="n"/>
    </row>
    <row r="98">
      <c r="A98" s="34" t="inlineStr">
        <is>
          <t>VL-3</t>
        </is>
      </c>
      <c r="B98" s="35" t="inlineStr">
        <is>
          <t>Số tháng tăng hạng bảng đua tháng (hoặc giữ top 10%) ≥ 6 tháng</t>
        </is>
      </c>
      <c r="C98" s="36" t="inlineStr">
        <is>
          <t>trọn đời</t>
        </is>
      </c>
      <c r="D98" s="36" t="inlineStr">
        <is>
          <t>Bảng đua tháng</t>
        </is>
      </c>
      <c r="E98" s="37">
        <f>COUNTA(F98:AC98)</f>
        <v/>
      </c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8" t="inlineStr">
        <is>
          <t>★3</t>
        </is>
      </c>
      <c r="X98" s="39" t="n"/>
      <c r="Y98" s="39" t="n"/>
      <c r="Z98" s="39" t="n"/>
      <c r="AA98" s="39" t="n"/>
      <c r="AB98" s="39" t="n"/>
      <c r="AC98" s="39" t="n"/>
    </row>
    <row r="99">
      <c r="A99" s="34" t="inlineStr">
        <is>
          <t>VL-4</t>
        </is>
      </c>
      <c r="B99" s="35" t="inlineStr">
        <is>
          <t>Số tháng tăng hạng bảng đua tháng (hoặc giữ top 10%) ≥ 8 tháng</t>
        </is>
      </c>
      <c r="C99" s="36" t="inlineStr">
        <is>
          <t>trọn đời</t>
        </is>
      </c>
      <c r="D99" s="36" t="inlineStr">
        <is>
          <t>Bảng đua tháng</t>
        </is>
      </c>
      <c r="E99" s="37">
        <f>COUNTA(F99:AC99)</f>
        <v/>
      </c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40" t="inlineStr">
        <is>
          <t>★4</t>
        </is>
      </c>
      <c r="X99" s="39" t="n"/>
      <c r="Y99" s="39" t="n"/>
      <c r="Z99" s="39" t="n"/>
      <c r="AA99" s="39" t="n"/>
      <c r="AB99" s="39" t="n"/>
      <c r="AC99" s="39" t="n"/>
    </row>
    <row r="100">
      <c r="A100" s="34" t="inlineStr">
        <is>
          <t>VL-5</t>
        </is>
      </c>
      <c r="B100" s="35" t="inlineStr">
        <is>
          <t>Số tháng tăng hạng bảng đua tháng (hoặc giữ top 10%) ≥ 10 tháng</t>
        </is>
      </c>
      <c r="C100" s="36" t="inlineStr">
        <is>
          <t>trọn đời</t>
        </is>
      </c>
      <c r="D100" s="36" t="inlineStr">
        <is>
          <t>Bảng đua tháng</t>
        </is>
      </c>
      <c r="E100" s="37">
        <f>COUNTA(F100:AC100)</f>
        <v/>
      </c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40" t="inlineStr">
        <is>
          <t>★5</t>
        </is>
      </c>
      <c r="X100" s="39" t="n"/>
      <c r="Y100" s="39" t="n"/>
      <c r="Z100" s="39" t="n"/>
      <c r="AA100" s="39" t="n"/>
      <c r="AB100" s="39" t="n"/>
      <c r="AC100" s="39" t="n"/>
    </row>
    <row r="101">
      <c r="A101" s="47" t="inlineStr">
        <is>
          <t>8 · Nhiệm vụ — thành tựu CHÍNH (điều kiện đơn của 1★–3★, ngưỡng cao của 4★–5★)</t>
        </is>
      </c>
    </row>
    <row r="102">
      <c r="A102" s="34" t="inlineStr">
        <is>
          <t>VD-1</t>
        </is>
      </c>
      <c r="B102" s="35" t="inlineStr">
        <is>
          <t>Số tháng xong chặng nhiệm vụ 30 cấp ≥ 1 tháng</t>
        </is>
      </c>
      <c r="C102" s="36" t="inlineStr">
        <is>
          <t>trọn đời</t>
        </is>
      </c>
      <c r="D102" s="36" t="inlineStr">
        <is>
          <t>sổ nhiệm vụ</t>
        </is>
      </c>
      <c r="E102" s="37">
        <f>COUNTA(F102:AC102)</f>
        <v/>
      </c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8" t="inlineStr">
        <is>
          <t>★1</t>
        </is>
      </c>
      <c r="Y102" s="39" t="n"/>
      <c r="Z102" s="39" t="n"/>
      <c r="AA102" s="39" t="n"/>
      <c r="AB102" s="39" t="n"/>
      <c r="AC102" s="39" t="n"/>
    </row>
    <row r="103">
      <c r="A103" s="34" t="inlineStr">
        <is>
          <t>VD-2</t>
        </is>
      </c>
      <c r="B103" s="35" t="inlineStr">
        <is>
          <t>Số tháng xong chặng nhiệm vụ 30 cấp ≥ 3 tháng</t>
        </is>
      </c>
      <c r="C103" s="36" t="inlineStr">
        <is>
          <t>trọn đời</t>
        </is>
      </c>
      <c r="D103" s="36" t="inlineStr">
        <is>
          <t>sổ nhiệm vụ</t>
        </is>
      </c>
      <c r="E103" s="37">
        <f>COUNTA(F103:AC103)</f>
        <v/>
      </c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8" t="inlineStr">
        <is>
          <t>★2</t>
        </is>
      </c>
      <c r="Y103" s="39" t="n"/>
      <c r="Z103" s="39" t="n"/>
      <c r="AA103" s="39" t="n"/>
      <c r="AB103" s="39" t="n"/>
      <c r="AC103" s="39" t="n"/>
    </row>
    <row r="104">
      <c r="A104" s="34" t="inlineStr">
        <is>
          <t>VD-3</t>
        </is>
      </c>
      <c r="B104" s="35" t="inlineStr">
        <is>
          <t>Số tháng xong chặng nhiệm vụ 30 cấp ≥ 6 tháng</t>
        </is>
      </c>
      <c r="C104" s="36" t="inlineStr">
        <is>
          <t>trọn đời</t>
        </is>
      </c>
      <c r="D104" s="36" t="inlineStr">
        <is>
          <t>sổ nhiệm vụ</t>
        </is>
      </c>
      <c r="E104" s="37">
        <f>COUNTA(F104:AC104)</f>
        <v/>
      </c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8" t="inlineStr">
        <is>
          <t>★3</t>
        </is>
      </c>
      <c r="Y104" s="39" t="n"/>
      <c r="Z104" s="39" t="n"/>
      <c r="AA104" s="39" t="n"/>
      <c r="AB104" s="39" t="n"/>
      <c r="AC104" s="39" t="n"/>
    </row>
    <row r="105">
      <c r="A105" s="34" t="inlineStr">
        <is>
          <t>VD-4</t>
        </is>
      </c>
      <c r="B105" s="35" t="inlineStr">
        <is>
          <t>Số tháng xong chặng nhiệm vụ 30 cấp ≥ 9 tháng</t>
        </is>
      </c>
      <c r="C105" s="36" t="inlineStr">
        <is>
          <t>trọn đời</t>
        </is>
      </c>
      <c r="D105" s="36" t="inlineStr">
        <is>
          <t>sổ nhiệm vụ</t>
        </is>
      </c>
      <c r="E105" s="37">
        <f>COUNTA(F105:AC105)</f>
        <v/>
      </c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40" t="inlineStr">
        <is>
          <t>★4</t>
        </is>
      </c>
      <c r="Y105" s="39" t="n"/>
      <c r="Z105" s="39" t="n"/>
      <c r="AA105" s="39" t="n"/>
      <c r="AB105" s="39" t="n"/>
      <c r="AC105" s="39" t="n"/>
    </row>
    <row r="106">
      <c r="A106" s="34" t="inlineStr">
        <is>
          <t>VD-5</t>
        </is>
      </c>
      <c r="B106" s="35" t="inlineStr">
        <is>
          <t>Số tháng xong chặng nhiệm vụ 30 cấp ≥ 12 tháng</t>
        </is>
      </c>
      <c r="C106" s="36" t="inlineStr">
        <is>
          <t>trọn đời</t>
        </is>
      </c>
      <c r="D106" s="36" t="inlineStr">
        <is>
          <t>sổ nhiệm vụ</t>
        </is>
      </c>
      <c r="E106" s="37">
        <f>COUNTA(F106:AC106)</f>
        <v/>
      </c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40" t="inlineStr">
        <is>
          <t>★5</t>
        </is>
      </c>
      <c r="Y106" s="39" t="n"/>
      <c r="Z106" s="39" t="n"/>
      <c r="AA106" s="39" t="n"/>
      <c r="AB106" s="39" t="n"/>
      <c r="AC106" s="39" t="n"/>
    </row>
    <row r="107">
      <c r="A107" s="48" t="inlineStr">
        <is>
          <t>9 · Tập thể lớp — thành tựu CHÍNH (điều kiện đơn của 1★–3★, ngưỡng cao của 4★–5★)</t>
        </is>
      </c>
    </row>
    <row r="108">
      <c r="A108" s="34" t="inlineStr">
        <is>
          <t>LVD-1</t>
        </is>
      </c>
      <c r="B108" s="35" t="inlineStr">
        <is>
          <t>Số tháng lớp thắng đua lớp (cả lớp cùng nhận) ≥ 1 tháng</t>
        </is>
      </c>
      <c r="C108" s="36" t="inlineStr">
        <is>
          <t>trọn đời</t>
        </is>
      </c>
      <c r="D108" s="36" t="inlineStr">
        <is>
          <t>đua lớp</t>
        </is>
      </c>
      <c r="E108" s="37">
        <f>COUNTA(F108:AC108)</f>
        <v/>
      </c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8" t="inlineStr">
        <is>
          <t>★1</t>
        </is>
      </c>
      <c r="Z108" s="39" t="n"/>
      <c r="AA108" s="39" t="n"/>
      <c r="AB108" s="39" t="n"/>
      <c r="AC108" s="39" t="n"/>
    </row>
    <row r="109">
      <c r="A109" s="34" t="inlineStr">
        <is>
          <t>LVD-2</t>
        </is>
      </c>
      <c r="B109" s="35" t="inlineStr">
        <is>
          <t>Số tháng lớp thắng đua lớp (cả lớp cùng nhận) ≥ 3 tháng</t>
        </is>
      </c>
      <c r="C109" s="36" t="inlineStr">
        <is>
          <t>trọn đời</t>
        </is>
      </c>
      <c r="D109" s="36" t="inlineStr">
        <is>
          <t>đua lớp</t>
        </is>
      </c>
      <c r="E109" s="37">
        <f>COUNTA(F109:AC109)</f>
        <v/>
      </c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8" t="inlineStr">
        <is>
          <t>★2</t>
        </is>
      </c>
      <c r="Z109" s="39" t="n"/>
      <c r="AA109" s="39" t="n"/>
      <c r="AB109" s="39" t="n"/>
      <c r="AC109" s="39" t="n"/>
    </row>
    <row r="110">
      <c r="A110" s="34" t="inlineStr">
        <is>
          <t>LVD-3</t>
        </is>
      </c>
      <c r="B110" s="35" t="inlineStr">
        <is>
          <t>Số tháng lớp thắng đua lớp (cả lớp cùng nhận) ≥ 6 tháng</t>
        </is>
      </c>
      <c r="C110" s="36" t="inlineStr">
        <is>
          <t>trọn đời</t>
        </is>
      </c>
      <c r="D110" s="36" t="inlineStr">
        <is>
          <t>đua lớp</t>
        </is>
      </c>
      <c r="E110" s="37">
        <f>COUNTA(F110:AC110)</f>
        <v/>
      </c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8" t="inlineStr">
        <is>
          <t>★3</t>
        </is>
      </c>
      <c r="Z110" s="39" t="n"/>
      <c r="AA110" s="39" t="n"/>
      <c r="AB110" s="39" t="n"/>
      <c r="AC110" s="39" t="n"/>
    </row>
    <row r="111">
      <c r="A111" s="34" t="inlineStr">
        <is>
          <t>LVD-4</t>
        </is>
      </c>
      <c r="B111" s="35" t="inlineStr">
        <is>
          <t>Số tháng lớp thắng đua lớp (cả lớp cùng nhận) ≥ 9 tháng</t>
        </is>
      </c>
      <c r="C111" s="36" t="inlineStr">
        <is>
          <t>trọn đời</t>
        </is>
      </c>
      <c r="D111" s="36" t="inlineStr">
        <is>
          <t>đua lớp</t>
        </is>
      </c>
      <c r="E111" s="37">
        <f>COUNTA(F111:AC111)</f>
        <v/>
      </c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40" t="inlineStr">
        <is>
          <t>★4</t>
        </is>
      </c>
      <c r="Z111" s="39" t="n"/>
      <c r="AA111" s="39" t="n"/>
      <c r="AB111" s="39" t="n"/>
      <c r="AC111" s="39" t="n"/>
    </row>
    <row r="112">
      <c r="A112" s="34" t="inlineStr">
        <is>
          <t>LVD-5</t>
        </is>
      </c>
      <c r="B112" s="35" t="inlineStr">
        <is>
          <t>Số tháng lớp thắng đua lớp (cả lớp cùng nhận) ≥ 12 tháng</t>
        </is>
      </c>
      <c r="C112" s="36" t="inlineStr">
        <is>
          <t>trọn đời</t>
        </is>
      </c>
      <c r="D112" s="36" t="inlineStr">
        <is>
          <t>đua lớp</t>
        </is>
      </c>
      <c r="E112" s="37">
        <f>COUNTA(F112:AC112)</f>
        <v/>
      </c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40" t="inlineStr">
        <is>
          <t>★5</t>
        </is>
      </c>
      <c r="Z112" s="39" t="n"/>
      <c r="AA112" s="39" t="n"/>
      <c r="AB112" s="39" t="n"/>
      <c r="AC112" s="39" t="n"/>
    </row>
    <row r="113">
      <c r="A113" s="49" t="inlineStr">
        <is>
          <t>Thành tựu PHỤ — xét trong 1 THÁNG (điều kiện thêm của 4★)</t>
        </is>
      </c>
    </row>
    <row r="114">
      <c r="A114" s="34" t="inlineStr">
        <is>
          <t>A1·1T</t>
        </is>
      </c>
      <c r="B114" s="35" t="inlineStr">
        <is>
          <t>Đi học đủ mọi buổi (vắng thì đã học bù)</t>
        </is>
      </c>
      <c r="C114" s="36" t="inlineStr">
        <is>
          <t>1 tháng</t>
        </is>
      </c>
      <c r="D114" s="36" t="inlineStr">
        <is>
          <t>buoi_hoc_hs.diem_danh</t>
        </is>
      </c>
      <c r="E114" s="37">
        <f>COUNTA(F114:AC114)</f>
        <v/>
      </c>
      <c r="F114" s="39" t="n"/>
      <c r="G114" s="40" t="inlineStr">
        <is>
          <t>★4</t>
        </is>
      </c>
      <c r="H114" s="39" t="n"/>
      <c r="I114" s="39" t="n"/>
      <c r="J114" s="39" t="n"/>
      <c r="K114" s="39" t="n"/>
      <c r="L114" s="39" t="n"/>
      <c r="M114" s="40" t="inlineStr">
        <is>
          <t>★4</t>
        </is>
      </c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40" t="inlineStr">
        <is>
          <t>★4</t>
        </is>
      </c>
      <c r="Y114" s="39" t="n"/>
      <c r="Z114" s="39" t="n"/>
      <c r="AA114" s="39" t="n"/>
      <c r="AB114" s="39" t="n"/>
      <c r="AC114" s="39" t="n"/>
    </row>
    <row r="115">
      <c r="A115" s="34" t="inlineStr">
        <is>
          <t>A2·1T</t>
        </is>
      </c>
      <c r="B115" s="35" t="inlineStr">
        <is>
          <t>Nộp đủ, đúng hạn mọi BTVN</t>
        </is>
      </c>
      <c r="C115" s="36" t="inlineStr">
        <is>
          <t>1 tháng</t>
        </is>
      </c>
      <c r="D115" s="36" t="inlineStr">
        <is>
          <t>btvn_ket_qua.trang_thai_nop</t>
        </is>
      </c>
      <c r="E115" s="37">
        <f>COUNTA(F115:AC115)</f>
        <v/>
      </c>
      <c r="F115" s="40" t="inlineStr">
        <is>
          <t>★4</t>
        </is>
      </c>
      <c r="G115" s="39" t="n"/>
      <c r="H115" s="39" t="n"/>
      <c r="I115" s="40" t="inlineStr">
        <is>
          <t>★4</t>
        </is>
      </c>
      <c r="J115" s="39" t="n"/>
      <c r="K115" s="39" t="n"/>
      <c r="L115" s="39" t="n"/>
      <c r="M115" s="40" t="inlineStr">
        <is>
          <t>★4</t>
        </is>
      </c>
      <c r="N115" s="39" t="n"/>
      <c r="O115" s="39" t="n"/>
      <c r="P115" s="40" t="inlineStr">
        <is>
          <t>★4</t>
        </is>
      </c>
      <c r="Q115" s="39" t="n"/>
      <c r="R115" s="39" t="n"/>
      <c r="S115" s="39" t="n"/>
      <c r="T115" s="39" t="n"/>
      <c r="U115" s="40" t="inlineStr">
        <is>
          <t>★4</t>
        </is>
      </c>
      <c r="V115" s="39" t="n"/>
      <c r="W115" s="39" t="n"/>
      <c r="X115" s="39" t="n"/>
      <c r="Y115" s="39" t="n"/>
      <c r="Z115" s="39" t="n"/>
      <c r="AA115" s="39" t="n"/>
      <c r="AB115" s="39" t="n"/>
      <c r="AC115" s="39" t="n"/>
    </row>
    <row r="116">
      <c r="A116" s="34" t="inlineStr">
        <is>
          <t>A3·1T</t>
        </is>
      </c>
      <c r="B116" s="35" t="inlineStr">
        <is>
          <t>Tự luyện ≥ 100 câu đúng</t>
        </is>
      </c>
      <c r="C116" s="36" t="inlineStr">
        <is>
          <t>1 tháng</t>
        </is>
      </c>
      <c r="D116" s="36" t="inlineStr">
        <is>
          <t>bai_lam_cau (bài app)</t>
        </is>
      </c>
      <c r="E116" s="37">
        <f>COUNTA(F116:AC116)</f>
        <v/>
      </c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40" t="inlineStr">
        <is>
          <t>★4</t>
        </is>
      </c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39" t="n"/>
      <c r="AC116" s="39" t="n"/>
    </row>
    <row r="117">
      <c r="A117" s="34" t="inlineStr">
        <is>
          <t>A5·1T</t>
        </is>
      </c>
      <c r="B117" s="35" t="inlineStr">
        <is>
          <t>Pass Thử thách ≥ 10 ngày</t>
        </is>
      </c>
      <c r="C117" s="36" t="inlineStr">
        <is>
          <t>1 tháng</t>
        </is>
      </c>
      <c r="D117" s="36" t="inlineStr">
        <is>
          <t>lượt Thử thách</t>
        </is>
      </c>
      <c r="E117" s="37">
        <f>COUNTA(F117:AC117)</f>
        <v/>
      </c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40" t="inlineStr">
        <is>
          <t>★4</t>
        </is>
      </c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39" t="n"/>
      <c r="AC117" s="39" t="n"/>
    </row>
    <row r="118">
      <c r="A118" s="34" t="inlineStr">
        <is>
          <t>B1·1T</t>
        </is>
      </c>
      <c r="B118" s="35" t="inlineStr">
        <is>
          <t>ET đúng ≥ 80% ở ≥ 3/4 số bài ET</t>
        </is>
      </c>
      <c r="C118" s="36" t="inlineStr">
        <is>
          <t>1 tháng</t>
        </is>
      </c>
      <c r="D118" s="36" t="inlineStr">
        <is>
          <t>gami_grades (phase et)</t>
        </is>
      </c>
      <c r="E118" s="37">
        <f>COUNTA(F118:AC118)</f>
        <v/>
      </c>
      <c r="F118" s="39" t="n"/>
      <c r="G118" s="39" t="n"/>
      <c r="H118" s="40" t="inlineStr">
        <is>
          <t>★4</t>
        </is>
      </c>
      <c r="I118" s="39" t="n"/>
      <c r="J118" s="39" t="n"/>
      <c r="K118" s="40" t="inlineStr">
        <is>
          <t>★4</t>
        </is>
      </c>
      <c r="L118" s="39" t="n"/>
      <c r="M118" s="39" t="n"/>
      <c r="N118" s="39" t="n"/>
      <c r="O118" s="39" t="n"/>
      <c r="P118" s="39" t="n"/>
      <c r="Q118" s="40" t="inlineStr">
        <is>
          <t>★4</t>
        </is>
      </c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39" t="n"/>
      <c r="AC118" s="39" t="n"/>
    </row>
    <row r="119">
      <c r="A119" s="34" t="inlineStr">
        <is>
          <t>B3·1T</t>
        </is>
      </c>
      <c r="B119" s="35" t="inlineStr">
        <is>
          <t>MT top 10% khối</t>
        </is>
      </c>
      <c r="C119" s="36" t="inlineStr">
        <is>
          <t>1 tháng</t>
        </is>
      </c>
      <c r="D119" s="36" t="inlineStr">
        <is>
          <t>fn_bxh_diem_mt_khoi (quy hạng theo sĩ số)</t>
        </is>
      </c>
      <c r="E119" s="37">
        <f>COUNTA(F119:AC119)</f>
        <v/>
      </c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40" t="inlineStr">
        <is>
          <t>★4</t>
        </is>
      </c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39" t="n"/>
      <c r="AC119" s="39" t="n"/>
    </row>
    <row r="120">
      <c r="A120" s="34" t="inlineStr">
        <is>
          <t>B4·1T</t>
        </is>
      </c>
      <c r="B120" s="35" t="inlineStr">
        <is>
          <t>BTVN đúng trung bình ≥ 85%</t>
        </is>
      </c>
      <c r="C120" s="36" t="inlineStr">
        <is>
          <t>1 tháng</t>
        </is>
      </c>
      <c r="D120" s="36" t="inlineStr">
        <is>
          <t>btvn_ket_qua.ti_le_dung</t>
        </is>
      </c>
      <c r="E120" s="37">
        <f>COUNTA(F120:AC120)</f>
        <v/>
      </c>
      <c r="F120" s="39" t="n"/>
      <c r="G120" s="39" t="n"/>
      <c r="H120" s="39" t="n"/>
      <c r="I120" s="39" t="n"/>
      <c r="J120" s="40" t="inlineStr">
        <is>
          <t>★4</t>
        </is>
      </c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39" t="n"/>
      <c r="AC120" s="39" t="n"/>
    </row>
    <row r="121">
      <c r="A121" s="34" t="inlineStr">
        <is>
          <t>B6·1T</t>
        </is>
      </c>
      <c r="B121" s="35" t="inlineStr">
        <is>
          <t>≥ 5 lượt Thử thách 10/10</t>
        </is>
      </c>
      <c r="C121" s="36" t="inlineStr">
        <is>
          <t>1 tháng</t>
        </is>
      </c>
      <c r="D121" s="36" t="inlineStr">
        <is>
          <t>lượt Thử thách</t>
        </is>
      </c>
      <c r="E121" s="37">
        <f>COUNTA(F121:AC121)</f>
        <v/>
      </c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40" t="inlineStr">
        <is>
          <t>★4</t>
        </is>
      </c>
      <c r="U121" s="39" t="n"/>
      <c r="V121" s="39" t="n"/>
      <c r="W121" s="39" t="n"/>
      <c r="X121" s="39" t="n"/>
      <c r="Y121" s="39" t="n"/>
      <c r="Z121" s="39" t="n"/>
      <c r="AA121" s="39" t="n"/>
      <c r="AB121" s="39" t="n"/>
      <c r="AC121" s="39" t="n"/>
    </row>
    <row r="122">
      <c r="A122" s="34" t="inlineStr">
        <is>
          <t>C1·1T</t>
        </is>
      </c>
      <c r="B122" s="35" t="inlineStr">
        <is>
          <t>Hạng MT tăng so với tháng trước (hoặc giữ top 10%)</t>
        </is>
      </c>
      <c r="C122" s="36" t="inlineStr">
        <is>
          <t>1 tháng</t>
        </is>
      </c>
      <c r="D122" s="36" t="inlineStr">
        <is>
          <t>fn_bxh_diem_mt_khoi</t>
        </is>
      </c>
      <c r="E122" s="37">
        <f>COUNTA(F122:AC122)</f>
        <v/>
      </c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40" t="inlineStr">
        <is>
          <t>★4</t>
        </is>
      </c>
      <c r="X122" s="39" t="n"/>
      <c r="Y122" s="39" t="n"/>
      <c r="Z122" s="39" t="n"/>
      <c r="AA122" s="39" t="n"/>
      <c r="AB122" s="39" t="n"/>
      <c r="AC122" s="39" t="n"/>
    </row>
    <row r="123">
      <c r="A123" s="34" t="inlineStr">
        <is>
          <t>C2·1T</t>
        </is>
      </c>
      <c r="B123" s="35" t="inlineStr">
        <is>
          <t>Tỉ lệ đúng BTVN tăng ≥ 5 điểm so với tháng trước (hoặc giữ ≥ 90%)</t>
        </is>
      </c>
      <c r="C123" s="36" t="inlineStr">
        <is>
          <t>1 tháng</t>
        </is>
      </c>
      <c r="D123" s="36" t="inlineStr">
        <is>
          <t>btvn_ket_qua.ti_le_dung</t>
        </is>
      </c>
      <c r="E123" s="37">
        <f>COUNTA(F123:AC123)</f>
        <v/>
      </c>
      <c r="F123" s="39" t="n"/>
      <c r="G123" s="39" t="n"/>
      <c r="H123" s="39" t="n"/>
      <c r="I123" s="39" t="n"/>
      <c r="J123" s="39" t="n"/>
      <c r="K123" s="39" t="n"/>
      <c r="L123" s="40" t="inlineStr">
        <is>
          <t>★4</t>
        </is>
      </c>
      <c r="M123" s="39" t="n"/>
      <c r="N123" s="39" t="n"/>
      <c r="O123" s="40" t="inlineStr">
        <is>
          <t>★4</t>
        </is>
      </c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  <c r="AA123" s="39" t="n"/>
      <c r="AB123" s="39" t="n"/>
      <c r="AC123" s="39" t="n"/>
    </row>
    <row r="124">
      <c r="A124" s="49" t="inlineStr">
        <is>
          <t>Thành tựu PHỤ — đạt 3 THÁNG LIÊN TIẾP (điều kiện thêm của 5★)</t>
        </is>
      </c>
    </row>
    <row r="125">
      <c r="A125" s="34" t="inlineStr">
        <is>
          <t>A1·3T</t>
        </is>
      </c>
      <c r="B125" s="35" t="inlineStr">
        <is>
          <t>Đi học đủ mọi buổi (vắng thì đã học bù)</t>
        </is>
      </c>
      <c r="C125" s="36" t="inlineStr">
        <is>
          <t>3 tháng liên tiếp</t>
        </is>
      </c>
      <c r="D125" s="36" t="inlineStr">
        <is>
          <t>buoi_hoc_hs.diem_danh</t>
        </is>
      </c>
      <c r="E125" s="37">
        <f>COUNTA(F125:AC125)</f>
        <v/>
      </c>
      <c r="F125" s="39" t="n"/>
      <c r="G125" s="40" t="inlineStr">
        <is>
          <t>★5</t>
        </is>
      </c>
      <c r="H125" s="39" t="n"/>
      <c r="I125" s="39" t="n"/>
      <c r="J125" s="39" t="n"/>
      <c r="K125" s="40" t="inlineStr">
        <is>
          <t>★5</t>
        </is>
      </c>
      <c r="L125" s="39" t="n"/>
      <c r="M125" s="40" t="inlineStr">
        <is>
          <t>★5</t>
        </is>
      </c>
      <c r="N125" s="39" t="n"/>
      <c r="O125" s="39" t="n"/>
      <c r="P125" s="40" t="inlineStr">
        <is>
          <t>★5</t>
        </is>
      </c>
      <c r="Q125" s="39" t="n"/>
      <c r="R125" s="39" t="n"/>
      <c r="S125" s="39" t="n"/>
      <c r="T125" s="39" t="n"/>
      <c r="U125" s="39" t="n"/>
      <c r="V125" s="39" t="n"/>
      <c r="W125" s="39" t="n"/>
      <c r="X125" s="40" t="inlineStr">
        <is>
          <t>★5</t>
        </is>
      </c>
      <c r="Y125" s="39" t="n"/>
      <c r="Z125" s="39" t="n"/>
      <c r="AA125" s="39" t="n"/>
      <c r="AB125" s="39" t="n"/>
      <c r="AC125" s="39" t="n"/>
    </row>
    <row r="126">
      <c r="A126" s="34" t="inlineStr">
        <is>
          <t>A2·3T</t>
        </is>
      </c>
      <c r="B126" s="35" t="inlineStr">
        <is>
          <t>Nộp đủ, đúng hạn mọi BTVN</t>
        </is>
      </c>
      <c r="C126" s="36" t="inlineStr">
        <is>
          <t>3 tháng liên tiếp</t>
        </is>
      </c>
      <c r="D126" s="36" t="inlineStr">
        <is>
          <t>btvn_ket_qua.trang_thai_nop</t>
        </is>
      </c>
      <c r="E126" s="37">
        <f>COUNTA(F126:AC126)</f>
        <v/>
      </c>
      <c r="F126" s="40" t="inlineStr">
        <is>
          <t>★5</t>
        </is>
      </c>
      <c r="G126" s="39" t="n"/>
      <c r="H126" s="40" t="inlineStr">
        <is>
          <t>★5</t>
        </is>
      </c>
      <c r="I126" s="40" t="inlineStr">
        <is>
          <t>★5</t>
        </is>
      </c>
      <c r="J126" s="39" t="n"/>
      <c r="K126" s="39" t="n"/>
      <c r="L126" s="39" t="n"/>
      <c r="M126" s="40" t="inlineStr">
        <is>
          <t>★5</t>
        </is>
      </c>
      <c r="N126" s="39" t="n"/>
      <c r="O126" s="39" t="n"/>
      <c r="P126" s="40" t="inlineStr">
        <is>
          <t>★5</t>
        </is>
      </c>
      <c r="Q126" s="39" t="n"/>
      <c r="R126" s="39" t="n"/>
      <c r="S126" s="39" t="n"/>
      <c r="T126" s="39" t="n"/>
      <c r="U126" s="40" t="inlineStr">
        <is>
          <t>★5</t>
        </is>
      </c>
      <c r="V126" s="39" t="n"/>
      <c r="W126" s="39" t="n"/>
      <c r="X126" s="40" t="inlineStr">
        <is>
          <t>★5</t>
        </is>
      </c>
      <c r="Y126" s="39" t="n"/>
      <c r="Z126" s="39" t="n"/>
      <c r="AA126" s="39" t="n"/>
      <c r="AB126" s="39" t="n"/>
      <c r="AC126" s="39" t="n"/>
    </row>
    <row r="127">
      <c r="A127" s="34" t="inlineStr">
        <is>
          <t>A4·3T</t>
        </is>
      </c>
      <c r="B127" s="35" t="inlineStr">
        <is>
          <t>Tự luyện ≥ 200 câu đúng</t>
        </is>
      </c>
      <c r="C127" s="36" t="inlineStr">
        <is>
          <t>3 tháng liên tiếp</t>
        </is>
      </c>
      <c r="D127" s="36" t="inlineStr">
        <is>
          <t>bai_lam_cau (bài app)</t>
        </is>
      </c>
      <c r="E127" s="37">
        <f>COUNTA(F127:AC127)</f>
        <v/>
      </c>
      <c r="F127" s="39" t="n"/>
      <c r="G127" s="40" t="inlineStr">
        <is>
          <t>★5</t>
        </is>
      </c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40" t="inlineStr">
        <is>
          <t>★5</t>
        </is>
      </c>
      <c r="Q127" s="39" t="n"/>
      <c r="R127" s="39" t="n"/>
      <c r="S127" s="40" t="inlineStr">
        <is>
          <t>★5</t>
        </is>
      </c>
      <c r="T127" s="39" t="n"/>
      <c r="U127" s="39" t="n"/>
      <c r="V127" s="39" t="n"/>
      <c r="W127" s="39" t="n"/>
      <c r="X127" s="39" t="n"/>
      <c r="Y127" s="39" t="n"/>
      <c r="Z127" s="39" t="n"/>
      <c r="AA127" s="39" t="n"/>
      <c r="AB127" s="39" t="n"/>
      <c r="AC127" s="39" t="n"/>
    </row>
    <row r="128">
      <c r="A128" s="34" t="inlineStr">
        <is>
          <t>A6·3T</t>
        </is>
      </c>
      <c r="B128" s="35" t="inlineStr">
        <is>
          <t>Pass Thử thách ≥ 15 ngày</t>
        </is>
      </c>
      <c r="C128" s="36" t="inlineStr">
        <is>
          <t>3 tháng liên tiếp</t>
        </is>
      </c>
      <c r="D128" s="36" t="inlineStr">
        <is>
          <t>lượt Thử thách</t>
        </is>
      </c>
      <c r="E128" s="37">
        <f>COUNTA(F128:AC128)</f>
        <v/>
      </c>
      <c r="F128" s="40" t="inlineStr">
        <is>
          <t>★5</t>
        </is>
      </c>
      <c r="G128" s="39" t="n"/>
      <c r="H128" s="39" t="n"/>
      <c r="I128" s="39" t="n"/>
      <c r="J128" s="39" t="n"/>
      <c r="K128" s="39" t="n"/>
      <c r="L128" s="39" t="n"/>
      <c r="M128" s="40" t="inlineStr">
        <is>
          <t>★5</t>
        </is>
      </c>
      <c r="N128" s="39" t="n"/>
      <c r="O128" s="39" t="n"/>
      <c r="P128" s="39" t="n"/>
      <c r="Q128" s="39" t="n"/>
      <c r="R128" s="40" t="inlineStr">
        <is>
          <t>★5</t>
        </is>
      </c>
      <c r="S128" s="40" t="inlineStr">
        <is>
          <t>★5</t>
        </is>
      </c>
      <c r="T128" s="39" t="n"/>
      <c r="U128" s="40" t="inlineStr">
        <is>
          <t>★5</t>
        </is>
      </c>
      <c r="V128" s="39" t="n"/>
      <c r="W128" s="39" t="n"/>
      <c r="X128" s="39" t="n"/>
      <c r="Y128" s="39" t="n"/>
      <c r="Z128" s="39" t="n"/>
      <c r="AA128" s="39" t="n"/>
      <c r="AB128" s="39" t="n"/>
      <c r="AC128" s="39" t="n"/>
    </row>
    <row r="129">
      <c r="A129" s="34" t="inlineStr">
        <is>
          <t>B1·3T</t>
        </is>
      </c>
      <c r="B129" s="35" t="inlineStr">
        <is>
          <t>ET đúng ≥ 80% ở ≥ 3/4 số bài ET</t>
        </is>
      </c>
      <c r="C129" s="36" t="inlineStr">
        <is>
          <t>3 tháng liên tiếp</t>
        </is>
      </c>
      <c r="D129" s="36" t="inlineStr">
        <is>
          <t>gami_grades (phase et)</t>
        </is>
      </c>
      <c r="E129" s="37">
        <f>COUNTA(F129:AC129)</f>
        <v/>
      </c>
      <c r="F129" s="39" t="n"/>
      <c r="G129" s="39" t="n"/>
      <c r="H129" s="40" t="inlineStr">
        <is>
          <t>★5</t>
        </is>
      </c>
      <c r="I129" s="39" t="n"/>
      <c r="J129" s="39" t="n"/>
      <c r="K129" s="40" t="inlineStr">
        <is>
          <t>★5</t>
        </is>
      </c>
      <c r="L129" s="39" t="n"/>
      <c r="M129" s="39" t="n"/>
      <c r="N129" s="40" t="inlineStr">
        <is>
          <t>★5</t>
        </is>
      </c>
      <c r="O129" s="39" t="n"/>
      <c r="P129" s="39" t="n"/>
      <c r="Q129" s="40" t="inlineStr">
        <is>
          <t>★5</t>
        </is>
      </c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39" t="n"/>
      <c r="AC129" s="39" t="n"/>
    </row>
    <row r="130">
      <c r="A130" s="34" t="inlineStr">
        <is>
          <t>B2·3T</t>
        </is>
      </c>
      <c r="B130" s="35" t="inlineStr">
        <is>
          <t>MT top 30% khối</t>
        </is>
      </c>
      <c r="C130" s="36" t="inlineStr">
        <is>
          <t>3 tháng liên tiếp</t>
        </is>
      </c>
      <c r="D130" s="36" t="inlineStr">
        <is>
          <t>fn_bxh_diem_mt_khoi (quy hạng theo sĩ số)</t>
        </is>
      </c>
      <c r="E130" s="37">
        <f>COUNTA(F130:AC130)</f>
        <v/>
      </c>
      <c r="F130" s="39" t="n"/>
      <c r="G130" s="39" t="n"/>
      <c r="H130" s="40" t="inlineStr">
        <is>
          <t>★5</t>
        </is>
      </c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40" t="inlineStr">
        <is>
          <t>★5</t>
        </is>
      </c>
      <c r="U130" s="39" t="n"/>
      <c r="V130" s="39" t="n"/>
      <c r="W130" s="39" t="n"/>
      <c r="X130" s="39" t="n"/>
      <c r="Y130" s="39" t="n"/>
      <c r="Z130" s="39" t="n"/>
      <c r="AA130" s="39" t="n"/>
      <c r="AB130" s="39" t="n"/>
      <c r="AC130" s="39" t="n"/>
    </row>
    <row r="131">
      <c r="A131" s="34" t="inlineStr">
        <is>
          <t>B3·3T</t>
        </is>
      </c>
      <c r="B131" s="35" t="inlineStr">
        <is>
          <t>MT top 10% khối</t>
        </is>
      </c>
      <c r="C131" s="36" t="inlineStr">
        <is>
          <t>3 tháng liên tiếp</t>
        </is>
      </c>
      <c r="D131" s="36" t="inlineStr">
        <is>
          <t>fn_bxh_diem_mt_khoi (quy hạng theo sĩ số)</t>
        </is>
      </c>
      <c r="E131" s="37">
        <f>COUNTA(F131:AC131)</f>
        <v/>
      </c>
      <c r="F131" s="39" t="n"/>
      <c r="G131" s="39" t="n"/>
      <c r="H131" s="39" t="n"/>
      <c r="I131" s="39" t="n"/>
      <c r="J131" s="40" t="inlineStr">
        <is>
          <t>★5</t>
        </is>
      </c>
      <c r="K131" s="39" t="n"/>
      <c r="L131" s="39" t="n"/>
      <c r="M131" s="39" t="n"/>
      <c r="N131" s="40" t="inlineStr">
        <is>
          <t>★5</t>
        </is>
      </c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  <c r="AA131" s="39" t="n"/>
      <c r="AB131" s="39" t="n"/>
      <c r="AC131" s="39" t="n"/>
    </row>
    <row r="132">
      <c r="A132" s="34" t="inlineStr">
        <is>
          <t>B5·3T</t>
        </is>
      </c>
      <c r="B132" s="35" t="inlineStr">
        <is>
          <t>BTVN đúng trung bình ≥ 90%</t>
        </is>
      </c>
      <c r="C132" s="36" t="inlineStr">
        <is>
          <t>3 tháng liên tiếp</t>
        </is>
      </c>
      <c r="D132" s="36" t="inlineStr">
        <is>
          <t>btvn_ket_qua.ti_le_dung</t>
        </is>
      </c>
      <c r="E132" s="37">
        <f>COUNTA(F132:AC132)</f>
        <v/>
      </c>
      <c r="F132" s="39" t="n"/>
      <c r="G132" s="39" t="n"/>
      <c r="H132" s="39" t="n"/>
      <c r="I132" s="39" t="n"/>
      <c r="J132" s="40" t="inlineStr">
        <is>
          <t>★5</t>
        </is>
      </c>
      <c r="K132" s="39" t="n"/>
      <c r="L132" s="39" t="n"/>
      <c r="M132" s="39" t="n"/>
      <c r="N132" s="39" t="n"/>
      <c r="O132" s="39" t="n"/>
      <c r="P132" s="39" t="n"/>
      <c r="Q132" s="40" t="inlineStr">
        <is>
          <t>★5</t>
        </is>
      </c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39" t="n"/>
      <c r="AC132" s="39" t="n"/>
    </row>
    <row r="133">
      <c r="A133" s="34" t="inlineStr">
        <is>
          <t>B6·3T</t>
        </is>
      </c>
      <c r="B133" s="35" t="inlineStr">
        <is>
          <t>≥ 5 lượt Thử thách 10/10</t>
        </is>
      </c>
      <c r="C133" s="36" t="inlineStr">
        <is>
          <t>3 tháng liên tiếp</t>
        </is>
      </c>
      <c r="D133" s="36" t="inlineStr">
        <is>
          <t>lượt Thử thách</t>
        </is>
      </c>
      <c r="E133" s="37">
        <f>COUNTA(F133:AC133)</f>
        <v/>
      </c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40" t="inlineStr">
        <is>
          <t>★5</t>
        </is>
      </c>
      <c r="U133" s="39" t="n"/>
      <c r="V133" s="39" t="n"/>
      <c r="W133" s="39" t="n"/>
      <c r="X133" s="39" t="n"/>
      <c r="Y133" s="39" t="n"/>
      <c r="Z133" s="39" t="n"/>
      <c r="AA133" s="39" t="n"/>
      <c r="AB133" s="39" t="n"/>
      <c r="AC133" s="39" t="n"/>
    </row>
    <row r="134">
      <c r="A134" s="34" t="inlineStr">
        <is>
          <t>C1·3T</t>
        </is>
      </c>
      <c r="B134" s="35" t="inlineStr">
        <is>
          <t>Hạng MT tăng so với tháng trước (hoặc giữ top 10%)</t>
        </is>
      </c>
      <c r="C134" s="36" t="inlineStr">
        <is>
          <t>3 tháng liên tiếp</t>
        </is>
      </c>
      <c r="D134" s="36" t="inlineStr">
        <is>
          <t>fn_bxh_diem_mt_khoi</t>
        </is>
      </c>
      <c r="E134" s="37">
        <f>COUNTA(F134:AC134)</f>
        <v/>
      </c>
      <c r="F134" s="39" t="n"/>
      <c r="G134" s="39" t="n"/>
      <c r="H134" s="39" t="n"/>
      <c r="I134" s="40" t="inlineStr">
        <is>
          <t>★5</t>
        </is>
      </c>
      <c r="J134" s="39" t="n"/>
      <c r="K134" s="39" t="n"/>
      <c r="L134" s="40" t="inlineStr">
        <is>
          <t>★5</t>
        </is>
      </c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40" t="inlineStr">
        <is>
          <t>★5</t>
        </is>
      </c>
      <c r="X134" s="39" t="n"/>
      <c r="Y134" s="39" t="n"/>
      <c r="Z134" s="39" t="n"/>
      <c r="AA134" s="39" t="n"/>
      <c r="AB134" s="39" t="n"/>
      <c r="AC134" s="39" t="n"/>
    </row>
    <row r="135">
      <c r="A135" s="34" t="inlineStr">
        <is>
          <t>C2·3T</t>
        </is>
      </c>
      <c r="B135" s="35" t="inlineStr">
        <is>
          <t>Tỉ lệ đúng BTVN tăng ≥ 5 điểm so với tháng trước (hoặc giữ ≥ 90%)</t>
        </is>
      </c>
      <c r="C135" s="36" t="inlineStr">
        <is>
          <t>3 tháng liên tiếp</t>
        </is>
      </c>
      <c r="D135" s="36" t="inlineStr">
        <is>
          <t>btvn_ket_qua.ti_le_dung</t>
        </is>
      </c>
      <c r="E135" s="37">
        <f>COUNTA(F135:AC135)</f>
        <v/>
      </c>
      <c r="F135" s="39" t="n"/>
      <c r="G135" s="39" t="n"/>
      <c r="H135" s="39" t="n"/>
      <c r="I135" s="39" t="n"/>
      <c r="J135" s="39" t="n"/>
      <c r="K135" s="39" t="n"/>
      <c r="L135" s="40" t="inlineStr">
        <is>
          <t>★5</t>
        </is>
      </c>
      <c r="M135" s="39" t="n"/>
      <c r="N135" s="39" t="n"/>
      <c r="O135" s="40" t="inlineStr">
        <is>
          <t>★5</t>
        </is>
      </c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  <c r="AA135" s="39" t="n"/>
      <c r="AB135" s="39" t="n"/>
      <c r="AC135" s="39" t="n"/>
    </row>
    <row r="136">
      <c r="A136" s="34" t="inlineStr">
        <is>
          <t>C3·3T</t>
        </is>
      </c>
      <c r="B136" s="35" t="inlineStr">
        <is>
          <t>Lấp ≥ 1 lỗ (dạng yếu → đạt)</t>
        </is>
      </c>
      <c r="C136" s="36" t="inlineStr">
        <is>
          <t>3 tháng liên tiếp</t>
        </is>
      </c>
      <c r="D136" s="36" t="inlineStr">
        <is>
          <t>fn_mastery_cells</t>
        </is>
      </c>
      <c r="E136" s="37">
        <f>COUNTA(F136:AC136)</f>
        <v/>
      </c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40" t="inlineStr">
        <is>
          <t>★5</t>
        </is>
      </c>
      <c r="P136" s="39" t="n"/>
      <c r="Q136" s="39" t="n"/>
      <c r="R136" s="40" t="inlineStr">
        <is>
          <t>★5</t>
        </is>
      </c>
      <c r="S136" s="39" t="n"/>
      <c r="T136" s="39" t="n"/>
      <c r="U136" s="39" t="n"/>
      <c r="V136" s="39" t="n"/>
      <c r="W136" s="40" t="inlineStr">
        <is>
          <t>★5</t>
        </is>
      </c>
      <c r="X136" s="39" t="n"/>
      <c r="Y136" s="39" t="n"/>
      <c r="Z136" s="39" t="n"/>
      <c r="AA136" s="39" t="n"/>
      <c r="AB136" s="39" t="n"/>
      <c r="AC136" s="39" t="n"/>
    </row>
    <row r="137">
      <c r="A137" s="50" t="inlineStr">
        <is>
          <t>10 · Bí ẩn &amp; Kỷ niệm — 1 lần, ẩn tới khi đạt (kỷ niệm sự kiện / mùa thêm theo từng đợt)</t>
        </is>
      </c>
    </row>
    <row r="138">
      <c r="A138" s="34" t="inlineStr">
        <is>
          <t>TTD-1</t>
        </is>
      </c>
      <c r="B138" s="35" t="inlineStr">
        <is>
          <t>Báo sai đề, được xác nhận đúng</t>
        </is>
      </c>
      <c r="C138" s="36" t="inlineStr">
        <is>
          <t>1 lần</t>
        </is>
      </c>
      <c r="D138" s="36" t="inlineStr">
        <is>
          <t>bai_test_report.trang_thai = 'dung'</t>
        </is>
      </c>
      <c r="E138" s="37">
        <f>COUNTA(F138:AC138)</f>
        <v/>
      </c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8" t="inlineStr">
        <is>
          <t>★</t>
        </is>
      </c>
      <c r="AA138" s="39" t="n"/>
      <c r="AB138" s="39" t="n"/>
      <c r="AC138" s="39" t="n"/>
    </row>
    <row r="139">
      <c r="A139" s="34" t="inlineStr">
        <is>
          <t>TMM-1</t>
        </is>
      </c>
      <c r="B139" s="35" t="inlineStr">
        <is>
          <t>Trúng trà sữa ở game buổi</t>
        </is>
      </c>
      <c r="C139" s="36" t="inlineStr">
        <is>
          <t>1 lần</t>
        </is>
      </c>
      <c r="D139" s="36" t="inlineStr">
        <is>
          <t>buoi_game_qua</t>
        </is>
      </c>
      <c r="E139" s="37">
        <f>COUNTA(F139:AC139)</f>
        <v/>
      </c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  <c r="AA139" s="38" t="inlineStr">
        <is>
          <t>★</t>
        </is>
      </c>
      <c r="AB139" s="39" t="n"/>
      <c r="AC139" s="39" t="n"/>
    </row>
    <row r="140">
      <c r="A140" s="34" t="inlineStr">
        <is>
          <t>LND-1</t>
        </is>
      </c>
      <c r="B140" s="35" t="inlineStr">
        <is>
          <t>Từ nửa dưới lớp lên Nhất buổi trong 4 buổi</t>
        </is>
      </c>
      <c r="C140" s="36" t="inlineStr">
        <is>
          <t>1 lần</t>
        </is>
      </c>
      <c r="D140" s="36" t="inlineStr">
        <is>
          <t>buoi_giai</t>
        </is>
      </c>
      <c r="E140" s="37">
        <f>COUNTA(F140:AC140)</f>
        <v/>
      </c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  <c r="AA140" s="39" t="n"/>
      <c r="AB140" s="38" t="inlineStr">
        <is>
          <t>★</t>
        </is>
      </c>
      <c r="AC140" s="39" t="n"/>
    </row>
    <row r="141">
      <c r="A141" s="34" t="inlineStr">
        <is>
          <t>CDBL-1</t>
        </is>
      </c>
      <c r="B141" s="35" t="inlineStr">
        <is>
          <t>Tháng trước không lên sao nào ở Khá Lên / Vững Bước / Bứt Phá / Lên Tầm / Lấp Lỗ / Vượt Lên, tháng này lên ≥ 1 sao</t>
        </is>
      </c>
      <c r="C141" s="36" t="inlineStr">
        <is>
          <t>1 lần</t>
        </is>
      </c>
      <c r="D141" s="36" t="inlineStr">
        <is>
          <t>sổ huy hiệu</t>
        </is>
      </c>
      <c r="E141" s="37">
        <f>COUNTA(F141:AC141)</f>
        <v/>
      </c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  <c r="AA141" s="39" t="n"/>
      <c r="AB141" s="39" t="n"/>
      <c r="AC141" s="38" t="inlineStr">
        <is>
          <t>★</t>
        </is>
      </c>
    </row>
    <row r="142">
      <c r="B142" s="51" t="inlineStr">
        <is>
          <t>Tổng số thành tựu mỗi huy hiệu dùng (mọi sao)</t>
        </is>
      </c>
      <c r="F142" s="52">
        <f>COUNTA(F5:F141)</f>
        <v/>
      </c>
      <c r="G142" s="52">
        <f>COUNTA(G5:G141)</f>
        <v/>
      </c>
      <c r="H142" s="52">
        <f>COUNTA(H5:H141)</f>
        <v/>
      </c>
      <c r="I142" s="52">
        <f>COUNTA(I5:I141)</f>
        <v/>
      </c>
      <c r="J142" s="52">
        <f>COUNTA(J5:J141)</f>
        <v/>
      </c>
      <c r="K142" s="52">
        <f>COUNTA(K5:K141)</f>
        <v/>
      </c>
      <c r="L142" s="52">
        <f>COUNTA(L5:L141)</f>
        <v/>
      </c>
      <c r="M142" s="52">
        <f>COUNTA(M5:M141)</f>
        <v/>
      </c>
      <c r="N142" s="52">
        <f>COUNTA(N5:N141)</f>
        <v/>
      </c>
      <c r="O142" s="52">
        <f>COUNTA(O5:O141)</f>
        <v/>
      </c>
      <c r="P142" s="52">
        <f>COUNTA(P5:P141)</f>
        <v/>
      </c>
      <c r="Q142" s="52">
        <f>COUNTA(Q5:Q141)</f>
        <v/>
      </c>
      <c r="R142" s="52">
        <f>COUNTA(R5:R141)</f>
        <v/>
      </c>
      <c r="S142" s="52">
        <f>COUNTA(S5:S141)</f>
        <v/>
      </c>
      <c r="T142" s="52">
        <f>COUNTA(T5:T141)</f>
        <v/>
      </c>
      <c r="U142" s="52">
        <f>COUNTA(U5:U141)</f>
        <v/>
      </c>
      <c r="V142" s="52">
        <f>COUNTA(V5:V141)</f>
        <v/>
      </c>
      <c r="W142" s="52">
        <f>COUNTA(W5:W141)</f>
        <v/>
      </c>
      <c r="X142" s="52">
        <f>COUNTA(X5:X141)</f>
        <v/>
      </c>
      <c r="Y142" s="52">
        <f>COUNTA(Y5:Y141)</f>
        <v/>
      </c>
      <c r="Z142" s="52">
        <f>COUNTA(Z5:Z141)</f>
        <v/>
      </c>
      <c r="AA142" s="52">
        <f>COUNTA(AA5:AA141)</f>
        <v/>
      </c>
      <c r="AB142" s="52">
        <f>COUNTA(AB5:AB141)</f>
        <v/>
      </c>
      <c r="AC142" s="52">
        <f>COUNTA(AC5:AC141)</f>
        <v/>
      </c>
    </row>
  </sheetData>
  <mergeCells count="27">
    <mergeCell ref="A58:AC58"/>
    <mergeCell ref="X1"/>
    <mergeCell ref="Z1:AC1"/>
    <mergeCell ref="F1"/>
    <mergeCell ref="A107:AC107"/>
    <mergeCell ref="D1:D3"/>
    <mergeCell ref="V1:W1"/>
    <mergeCell ref="A124:AC124"/>
    <mergeCell ref="G1:I1"/>
    <mergeCell ref="A137:AC137"/>
    <mergeCell ref="A90:AC90"/>
    <mergeCell ref="A1:A3"/>
    <mergeCell ref="S1:U1"/>
    <mergeCell ref="A74:AC74"/>
    <mergeCell ref="A101:AC101"/>
    <mergeCell ref="A26:AC26"/>
    <mergeCell ref="E1:E3"/>
    <mergeCell ref="A113:AC113"/>
    <mergeCell ref="A42:AC42"/>
    <mergeCell ref="Y1"/>
    <mergeCell ref="J1:L1"/>
    <mergeCell ref="P1:R1"/>
    <mergeCell ref="B1:B3"/>
    <mergeCell ref="C1:C3"/>
    <mergeCell ref="M1:O1"/>
    <mergeCell ref="A4:AC4"/>
    <mergeCell ref="A10:AC10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6" customWidth="1" min="3" max="3"/>
    <col width="30" customWidth="1" min="4" max="4"/>
    <col width="70" customWidth="1" min="5" max="5"/>
    <col width="14" customWidth="1" min="6" max="6"/>
    <col width="12" customWidth="1" min="7" max="7"/>
    <col width="10" customWidth="1" min="8" max="8"/>
  </cols>
  <sheetData>
    <row r="1">
      <c r="A1" s="1" t="inlineStr">
        <is>
          <t>Loại</t>
        </is>
      </c>
      <c r="B1" s="1" t="inlineStr">
        <is>
          <t>Huy hiệu</t>
        </is>
      </c>
      <c r="C1" s="1" t="inlineStr">
        <is>
          <t>Sao</t>
        </is>
      </c>
      <c r="D1" s="1" t="inlineStr">
        <is>
          <t>Điều kiện (mã thành tựu)</t>
        </is>
      </c>
      <c r="E1" s="1" t="inlineStr">
        <is>
          <t>Diễn giải</t>
        </is>
      </c>
      <c r="F1" s="1" t="inlineStr">
        <is>
          <t>Số điều kiện (đếm từ Ma trận)</t>
        </is>
      </c>
      <c r="G1" s="1" t="inlineStr">
        <is>
          <t>Bản cứng</t>
        </is>
      </c>
      <c r="H1" s="1" t="inlineStr">
        <is>
          <t>EXP thưởng</t>
        </is>
      </c>
    </row>
    <row r="2">
      <c r="A2" s="53" t="inlineStr">
        <is>
          <t>1 · Chuyên cần</t>
        </is>
      </c>
      <c r="B2" s="54" t="inlineStr">
        <is>
          <t>Không Nghỉ</t>
        </is>
      </c>
      <c r="C2" s="55" t="inlineStr">
        <is>
          <t>★1</t>
        </is>
      </c>
      <c r="D2" s="56" t="inlineStr">
        <is>
          <t>KN-1</t>
        </is>
      </c>
      <c r="E2" s="56" t="inlineStr">
        <is>
          <t>Chuỗi buổi có mặt liên tục ≥ 10 buổi</t>
        </is>
      </c>
      <c r="F2" s="57">
        <f>COUNTIF('Ma trận'!F$5:F$141,C2)</f>
        <v/>
      </c>
      <c r="G2" s="57" t="inlineStr">
        <is>
          <t>—</t>
        </is>
      </c>
      <c r="H2" s="57" t="n">
        <v>0</v>
      </c>
    </row>
    <row r="3">
      <c r="A3" s="53" t="inlineStr">
        <is>
          <t>1 · Chuyên cần</t>
        </is>
      </c>
      <c r="B3" s="54" t="inlineStr">
        <is>
          <t>Không Nghỉ</t>
        </is>
      </c>
      <c r="C3" s="55" t="inlineStr">
        <is>
          <t>★2</t>
        </is>
      </c>
      <c r="D3" s="56" t="inlineStr">
        <is>
          <t>KN-2</t>
        </is>
      </c>
      <c r="E3" s="56" t="inlineStr">
        <is>
          <t>Chuỗi buổi có mặt liên tục ≥ 30 buổi</t>
        </is>
      </c>
      <c r="F3" s="57">
        <f>COUNTIF('Ma trận'!F$5:F$141,C3)</f>
        <v/>
      </c>
      <c r="G3" s="57" t="inlineStr">
        <is>
          <t>—</t>
        </is>
      </c>
      <c r="H3" s="57" t="n">
        <v>0</v>
      </c>
    </row>
    <row r="4">
      <c r="A4" s="53" t="inlineStr">
        <is>
          <t>1 · Chuyên cần</t>
        </is>
      </c>
      <c r="B4" s="54" t="inlineStr">
        <is>
          <t>Không Nghỉ</t>
        </is>
      </c>
      <c r="C4" s="55" t="inlineStr">
        <is>
          <t>★3</t>
        </is>
      </c>
      <c r="D4" s="56" t="inlineStr">
        <is>
          <t>KN-3</t>
        </is>
      </c>
      <c r="E4" s="56" t="inlineStr">
        <is>
          <t>Chuỗi buổi có mặt liên tục ≥ 60 buổi</t>
        </is>
      </c>
      <c r="F4" s="57">
        <f>COUNTIF('Ma trận'!F$5:F$141,C4)</f>
        <v/>
      </c>
      <c r="G4" s="57" t="inlineStr">
        <is>
          <t>—</t>
        </is>
      </c>
      <c r="H4" s="57" t="n">
        <v>100</v>
      </c>
    </row>
    <row r="5">
      <c r="A5" s="53" t="inlineStr">
        <is>
          <t>1 · Chuyên cần</t>
        </is>
      </c>
      <c r="B5" s="54" t="inlineStr">
        <is>
          <t>Không Nghỉ</t>
        </is>
      </c>
      <c r="C5" s="58" t="inlineStr">
        <is>
          <t>★4</t>
        </is>
      </c>
      <c r="D5" s="56" t="inlineStr">
        <is>
          <t>KN-4 + A2·1T</t>
        </is>
      </c>
      <c r="E5" s="56" t="inlineStr">
        <is>
          <t>Chuỗi buổi có mặt liên tục ≥ 90 buổi · VÀ trong 1 tháng: Nộp đủ, đúng hạn mọi BTVN</t>
        </is>
      </c>
      <c r="F5" s="57">
        <f>COUNTIF('Ma trận'!F$5:F$141,C5)</f>
        <v/>
      </c>
      <c r="G5" s="57" t="inlineStr">
        <is>
          <t>Có (GV trao)</t>
        </is>
      </c>
      <c r="H5" s="57" t="n">
        <v>200</v>
      </c>
    </row>
    <row r="6">
      <c r="A6" s="53" t="inlineStr">
        <is>
          <t>1 · Chuyên cần</t>
        </is>
      </c>
      <c r="B6" s="54" t="inlineStr">
        <is>
          <t>Không Nghỉ</t>
        </is>
      </c>
      <c r="C6" s="58" t="inlineStr">
        <is>
          <t>★5</t>
        </is>
      </c>
      <c r="D6" s="56" t="inlineStr">
        <is>
          <t>KN-5 + A2·3T + A6·3T</t>
        </is>
      </c>
      <c r="E6" s="56" t="inlineStr">
        <is>
          <t>Chuỗi buổi có mặt liên tục ≥ 150 buổi · VÀ 3 tháng liên tiếp: Nộp đủ, đúng hạn mọi BTVN · Pass Thử thách ≥ 15 ngày</t>
        </is>
      </c>
      <c r="F6" s="57">
        <f>COUNTIF('Ma trận'!F$5:F$141,C6)</f>
        <v/>
      </c>
      <c r="G6" s="57" t="inlineStr">
        <is>
          <t>Có (GV trao)</t>
        </is>
      </c>
      <c r="H6" s="57" t="n">
        <v>300</v>
      </c>
    </row>
    <row r="7">
      <c r="A7" s="59" t="inlineStr">
        <is>
          <t>2 · Bài về nhà</t>
        </is>
      </c>
      <c r="B7" s="60" t="inlineStr">
        <is>
          <t>Đúng Hẹn</t>
        </is>
      </c>
      <c r="C7" s="61" t="inlineStr">
        <is>
          <t>★1</t>
        </is>
      </c>
      <c r="D7" s="62" t="inlineStr">
        <is>
          <t>DH-1</t>
        </is>
      </c>
      <c r="E7" s="62" t="inlineStr">
        <is>
          <t>Chuỗi bài BTVN nộp đủ, đúng hạn ≥ 10 bài</t>
        </is>
      </c>
      <c r="F7" s="63">
        <f>COUNTIF('Ma trận'!G$5:G$141,C7)</f>
        <v/>
      </c>
      <c r="G7" s="63" t="inlineStr">
        <is>
          <t>—</t>
        </is>
      </c>
      <c r="H7" s="63" t="n">
        <v>0</v>
      </c>
    </row>
    <row r="8">
      <c r="A8" s="59" t="inlineStr">
        <is>
          <t>2 · Bài về nhà</t>
        </is>
      </c>
      <c r="B8" s="60" t="inlineStr">
        <is>
          <t>Đúng Hẹn</t>
        </is>
      </c>
      <c r="C8" s="61" t="inlineStr">
        <is>
          <t>★2</t>
        </is>
      </c>
      <c r="D8" s="62" t="inlineStr">
        <is>
          <t>DH-2</t>
        </is>
      </c>
      <c r="E8" s="62" t="inlineStr">
        <is>
          <t>Chuỗi bài BTVN nộp đủ, đúng hạn ≥ 30 bài</t>
        </is>
      </c>
      <c r="F8" s="63">
        <f>COUNTIF('Ma trận'!G$5:G$141,C8)</f>
        <v/>
      </c>
      <c r="G8" s="63" t="inlineStr">
        <is>
          <t>—</t>
        </is>
      </c>
      <c r="H8" s="63" t="n">
        <v>0</v>
      </c>
    </row>
    <row r="9">
      <c r="A9" s="59" t="inlineStr">
        <is>
          <t>2 · Bài về nhà</t>
        </is>
      </c>
      <c r="B9" s="60" t="inlineStr">
        <is>
          <t>Đúng Hẹn</t>
        </is>
      </c>
      <c r="C9" s="61" t="inlineStr">
        <is>
          <t>★3</t>
        </is>
      </c>
      <c r="D9" s="62" t="inlineStr">
        <is>
          <t>DH-3</t>
        </is>
      </c>
      <c r="E9" s="62" t="inlineStr">
        <is>
          <t>Chuỗi bài BTVN nộp đủ, đúng hạn ≥ 60 bài</t>
        </is>
      </c>
      <c r="F9" s="63">
        <f>COUNTIF('Ma trận'!G$5:G$141,C9)</f>
        <v/>
      </c>
      <c r="G9" s="63" t="inlineStr">
        <is>
          <t>—</t>
        </is>
      </c>
      <c r="H9" s="63" t="n">
        <v>100</v>
      </c>
    </row>
    <row r="10">
      <c r="A10" s="59" t="inlineStr">
        <is>
          <t>2 · Bài về nhà</t>
        </is>
      </c>
      <c r="B10" s="60" t="inlineStr">
        <is>
          <t>Đúng Hẹn</t>
        </is>
      </c>
      <c r="C10" s="64" t="inlineStr">
        <is>
          <t>★4</t>
        </is>
      </c>
      <c r="D10" s="62" t="inlineStr">
        <is>
          <t>DH-4 + A1·1T</t>
        </is>
      </c>
      <c r="E10" s="62" t="inlineStr">
        <is>
          <t>Chuỗi bài BTVN nộp đủ, đúng hạn ≥ 90 bài · VÀ trong 1 tháng: Đi học đủ mọi buổi (vắng thì đã học bù)</t>
        </is>
      </c>
      <c r="F10" s="63">
        <f>COUNTIF('Ma trận'!G$5:G$141,C10)</f>
        <v/>
      </c>
      <c r="G10" s="63" t="inlineStr">
        <is>
          <t>Có (GV trao)</t>
        </is>
      </c>
      <c r="H10" s="63" t="n">
        <v>200</v>
      </c>
    </row>
    <row r="11">
      <c r="A11" s="59" t="inlineStr">
        <is>
          <t>2 · Bài về nhà</t>
        </is>
      </c>
      <c r="B11" s="60" t="inlineStr">
        <is>
          <t>Đúng Hẹn</t>
        </is>
      </c>
      <c r="C11" s="64" t="inlineStr">
        <is>
          <t>★5</t>
        </is>
      </c>
      <c r="D11" s="62" t="inlineStr">
        <is>
          <t>DH-5 + A1·3T + A4·3T</t>
        </is>
      </c>
      <c r="E11" s="62" t="inlineStr">
        <is>
          <t>Chuỗi bài BTVN nộp đủ, đúng hạn ≥ 150 bài · VÀ 3 tháng liên tiếp: Đi học đủ mọi buổi (vắng thì đã học bù) · Tự luyện ≥ 200 câu đúng</t>
        </is>
      </c>
      <c r="F11" s="63">
        <f>COUNTIF('Ma trận'!G$5:G$141,C11)</f>
        <v/>
      </c>
      <c r="G11" s="63" t="inlineStr">
        <is>
          <t>Có (GV trao)</t>
        </is>
      </c>
      <c r="H11" s="63" t="n">
        <v>300</v>
      </c>
    </row>
    <row r="12">
      <c r="A12" s="59" t="inlineStr">
        <is>
          <t>2 · Bài về nhà</t>
        </is>
      </c>
      <c r="B12" s="60" t="inlineStr">
        <is>
          <t>Bài Đẹp</t>
        </is>
      </c>
      <c r="C12" s="61" t="inlineStr">
        <is>
          <t>★1</t>
        </is>
      </c>
      <c r="D12" s="62" t="inlineStr">
        <is>
          <t>BD-1</t>
        </is>
      </c>
      <c r="E12" s="62" t="inlineStr">
        <is>
          <t>Số bài BTVN đúng ≥ 90% ≥ 5 bài</t>
        </is>
      </c>
      <c r="F12" s="63">
        <f>COUNTIF('Ma trận'!H$5:H$141,C12)</f>
        <v/>
      </c>
      <c r="G12" s="63" t="inlineStr">
        <is>
          <t>—</t>
        </is>
      </c>
      <c r="H12" s="63" t="n">
        <v>0</v>
      </c>
    </row>
    <row r="13">
      <c r="A13" s="59" t="inlineStr">
        <is>
          <t>2 · Bài về nhà</t>
        </is>
      </c>
      <c r="B13" s="60" t="inlineStr">
        <is>
          <t>Bài Đẹp</t>
        </is>
      </c>
      <c r="C13" s="61" t="inlineStr">
        <is>
          <t>★2</t>
        </is>
      </c>
      <c r="D13" s="62" t="inlineStr">
        <is>
          <t>BD-2</t>
        </is>
      </c>
      <c r="E13" s="62" t="inlineStr">
        <is>
          <t>Số bài BTVN đúng ≥ 90% ≥ 20 bài</t>
        </is>
      </c>
      <c r="F13" s="63">
        <f>COUNTIF('Ma trận'!H$5:H$141,C13)</f>
        <v/>
      </c>
      <c r="G13" s="63" t="inlineStr">
        <is>
          <t>—</t>
        </is>
      </c>
      <c r="H13" s="63" t="n">
        <v>0</v>
      </c>
    </row>
    <row r="14">
      <c r="A14" s="59" t="inlineStr">
        <is>
          <t>2 · Bài về nhà</t>
        </is>
      </c>
      <c r="B14" s="60" t="inlineStr">
        <is>
          <t>Bài Đẹp</t>
        </is>
      </c>
      <c r="C14" s="61" t="inlineStr">
        <is>
          <t>★3</t>
        </is>
      </c>
      <c r="D14" s="62" t="inlineStr">
        <is>
          <t>BD-3</t>
        </is>
      </c>
      <c r="E14" s="62" t="inlineStr">
        <is>
          <t>Số bài BTVN đúng ≥ 90% ≥ 50 bài</t>
        </is>
      </c>
      <c r="F14" s="63">
        <f>COUNTIF('Ma trận'!H$5:H$141,C14)</f>
        <v/>
      </c>
      <c r="G14" s="63" t="inlineStr">
        <is>
          <t>—</t>
        </is>
      </c>
      <c r="H14" s="63" t="n">
        <v>100</v>
      </c>
    </row>
    <row r="15">
      <c r="A15" s="59" t="inlineStr">
        <is>
          <t>2 · Bài về nhà</t>
        </is>
      </c>
      <c r="B15" s="60" t="inlineStr">
        <is>
          <t>Bài Đẹp</t>
        </is>
      </c>
      <c r="C15" s="64" t="inlineStr">
        <is>
          <t>★4</t>
        </is>
      </c>
      <c r="D15" s="62" t="inlineStr">
        <is>
          <t>BD-4 + B1·1T</t>
        </is>
      </c>
      <c r="E15" s="62" t="inlineStr">
        <is>
          <t>Số bài BTVN đúng ≥ 90% ≥ 75 bài · VÀ trong 1 tháng: ET đúng ≥ 80% ở ≥ 3/4 số bài ET</t>
        </is>
      </c>
      <c r="F15" s="63">
        <f>COUNTIF('Ma trận'!H$5:H$141,C15)</f>
        <v/>
      </c>
      <c r="G15" s="63" t="inlineStr">
        <is>
          <t>Có (GV trao)</t>
        </is>
      </c>
      <c r="H15" s="63" t="n">
        <v>200</v>
      </c>
    </row>
    <row r="16">
      <c r="A16" s="59" t="inlineStr">
        <is>
          <t>2 · Bài về nhà</t>
        </is>
      </c>
      <c r="B16" s="60" t="inlineStr">
        <is>
          <t>Bài Đẹp</t>
        </is>
      </c>
      <c r="C16" s="64" t="inlineStr">
        <is>
          <t>★5</t>
        </is>
      </c>
      <c r="D16" s="62" t="inlineStr">
        <is>
          <t>BD-5 + A2·3T + B1·3T + B2·3T</t>
        </is>
      </c>
      <c r="E16" s="62" t="inlineStr">
        <is>
          <t>Số bài BTVN đúng ≥ 90% ≥ 110 bài · VÀ 3 tháng liên tiếp: Nộp đủ, đúng hạn mọi BTVN · ET đúng ≥ 80% ở ≥ 3/4 số bài ET · MT top 30% khối</t>
        </is>
      </c>
      <c r="F16" s="63">
        <f>COUNTIF('Ma trận'!H$5:H$141,C16)</f>
        <v/>
      </c>
      <c r="G16" s="63" t="inlineStr">
        <is>
          <t>Có (GV trao)</t>
        </is>
      </c>
      <c r="H16" s="63" t="n">
        <v>300</v>
      </c>
    </row>
    <row r="17">
      <c r="A17" s="59" t="inlineStr">
        <is>
          <t>2 · Bài về nhà</t>
        </is>
      </c>
      <c r="B17" s="60" t="inlineStr">
        <is>
          <t>Khá Lên</t>
        </is>
      </c>
      <c r="C17" s="61" t="inlineStr">
        <is>
          <t>★1</t>
        </is>
      </c>
      <c r="D17" s="62" t="inlineStr">
        <is>
          <t>KL-1</t>
        </is>
      </c>
      <c r="E17" s="62" t="inlineStr">
        <is>
          <t>Số tháng tỉ lệ đúng BTVN tăng (hoặc giữ ≥ 90%) ≥ 1 tháng</t>
        </is>
      </c>
      <c r="F17" s="63">
        <f>COUNTIF('Ma trận'!I$5:I$141,C17)</f>
        <v/>
      </c>
      <c r="G17" s="63" t="inlineStr">
        <is>
          <t>—</t>
        </is>
      </c>
      <c r="H17" s="63" t="n">
        <v>0</v>
      </c>
    </row>
    <row r="18">
      <c r="A18" s="59" t="inlineStr">
        <is>
          <t>2 · Bài về nhà</t>
        </is>
      </c>
      <c r="B18" s="60" t="inlineStr">
        <is>
          <t>Khá Lên</t>
        </is>
      </c>
      <c r="C18" s="61" t="inlineStr">
        <is>
          <t>★2</t>
        </is>
      </c>
      <c r="D18" s="62" t="inlineStr">
        <is>
          <t>KL-2</t>
        </is>
      </c>
      <c r="E18" s="62" t="inlineStr">
        <is>
          <t>Số tháng tỉ lệ đúng BTVN tăng (hoặc giữ ≥ 90%) ≥ 3 tháng</t>
        </is>
      </c>
      <c r="F18" s="63">
        <f>COUNTIF('Ma trận'!I$5:I$141,C18)</f>
        <v/>
      </c>
      <c r="G18" s="63" t="inlineStr">
        <is>
          <t>—</t>
        </is>
      </c>
      <c r="H18" s="63" t="n">
        <v>0</v>
      </c>
    </row>
    <row r="19">
      <c r="A19" s="59" t="inlineStr">
        <is>
          <t>2 · Bài về nhà</t>
        </is>
      </c>
      <c r="B19" s="60" t="inlineStr">
        <is>
          <t>Khá Lên</t>
        </is>
      </c>
      <c r="C19" s="61" t="inlineStr">
        <is>
          <t>★3</t>
        </is>
      </c>
      <c r="D19" s="62" t="inlineStr">
        <is>
          <t>KL-3</t>
        </is>
      </c>
      <c r="E19" s="62" t="inlineStr">
        <is>
          <t>Số tháng tỉ lệ đúng BTVN tăng (hoặc giữ ≥ 90%) ≥ 6 tháng</t>
        </is>
      </c>
      <c r="F19" s="63">
        <f>COUNTIF('Ma trận'!I$5:I$141,C19)</f>
        <v/>
      </c>
      <c r="G19" s="63" t="inlineStr">
        <is>
          <t>—</t>
        </is>
      </c>
      <c r="H19" s="63" t="n">
        <v>100</v>
      </c>
    </row>
    <row r="20">
      <c r="A20" s="59" t="inlineStr">
        <is>
          <t>2 · Bài về nhà</t>
        </is>
      </c>
      <c r="B20" s="60" t="inlineStr">
        <is>
          <t>Khá Lên</t>
        </is>
      </c>
      <c r="C20" s="64" t="inlineStr">
        <is>
          <t>★4</t>
        </is>
      </c>
      <c r="D20" s="62" t="inlineStr">
        <is>
          <t>KL-4 + A2·1T</t>
        </is>
      </c>
      <c r="E20" s="62" t="inlineStr">
        <is>
          <t>Số tháng tỉ lệ đúng BTVN tăng (hoặc giữ ≥ 90%) ≥ 8 tháng · VÀ trong 1 tháng: Nộp đủ, đúng hạn mọi BTVN</t>
        </is>
      </c>
      <c r="F20" s="63">
        <f>COUNTIF('Ma trận'!I$5:I$141,C20)</f>
        <v/>
      </c>
      <c r="G20" s="63" t="inlineStr">
        <is>
          <t>Có (GV trao)</t>
        </is>
      </c>
      <c r="H20" s="63" t="n">
        <v>200</v>
      </c>
    </row>
    <row r="21">
      <c r="A21" s="59" t="inlineStr">
        <is>
          <t>2 · Bài về nhà</t>
        </is>
      </c>
      <c r="B21" s="60" t="inlineStr">
        <is>
          <t>Khá Lên</t>
        </is>
      </c>
      <c r="C21" s="64" t="inlineStr">
        <is>
          <t>★5</t>
        </is>
      </c>
      <c r="D21" s="62" t="inlineStr">
        <is>
          <t>KL-5 + A2·3T + C1·3T</t>
        </is>
      </c>
      <c r="E21" s="62" t="inlineStr">
        <is>
          <t>Số tháng tỉ lệ đúng BTVN tăng (hoặc giữ ≥ 90%) ≥ 10 tháng · VÀ 3 tháng liên tiếp: Nộp đủ, đúng hạn mọi BTVN · Hạng MT tăng so với tháng trước (hoặc giữ top 10%)</t>
        </is>
      </c>
      <c r="F21" s="63">
        <f>COUNTIF('Ma trận'!I$5:I$141,C21)</f>
        <v/>
      </c>
      <c r="G21" s="63" t="inlineStr">
        <is>
          <t>Có (GV trao)</t>
        </is>
      </c>
      <c r="H21" s="63" t="n">
        <v>300</v>
      </c>
    </row>
    <row r="22">
      <c r="A22" s="65" t="inlineStr">
        <is>
          <t>3 · Trên lớp</t>
        </is>
      </c>
      <c r="B22" s="66" t="inlineStr">
        <is>
          <t>Lên Tay</t>
        </is>
      </c>
      <c r="C22" s="67" t="inlineStr">
        <is>
          <t>★1</t>
        </is>
      </c>
      <c r="D22" s="68" t="inlineStr">
        <is>
          <t>LT-1</t>
        </is>
      </c>
      <c r="E22" s="68" t="inlineStr">
        <is>
          <t>Số bài ET đúng ≥ 80% ≥ 3 bài</t>
        </is>
      </c>
      <c r="F22" s="69">
        <f>COUNTIF('Ma trận'!J$5:J$141,C22)</f>
        <v/>
      </c>
      <c r="G22" s="69" t="inlineStr">
        <is>
          <t>—</t>
        </is>
      </c>
      <c r="H22" s="69" t="n">
        <v>0</v>
      </c>
    </row>
    <row r="23">
      <c r="A23" s="65" t="inlineStr">
        <is>
          <t>3 · Trên lớp</t>
        </is>
      </c>
      <c r="B23" s="66" t="inlineStr">
        <is>
          <t>Lên Tay</t>
        </is>
      </c>
      <c r="C23" s="67" t="inlineStr">
        <is>
          <t>★2</t>
        </is>
      </c>
      <c r="D23" s="68" t="inlineStr">
        <is>
          <t>LT-2</t>
        </is>
      </c>
      <c r="E23" s="68" t="inlineStr">
        <is>
          <t>Số bài ET đúng ≥ 80% ≥ 15 bài</t>
        </is>
      </c>
      <c r="F23" s="69">
        <f>COUNTIF('Ma trận'!J$5:J$141,C23)</f>
        <v/>
      </c>
      <c r="G23" s="69" t="inlineStr">
        <is>
          <t>—</t>
        </is>
      </c>
      <c r="H23" s="69" t="n">
        <v>0</v>
      </c>
    </row>
    <row r="24">
      <c r="A24" s="65" t="inlineStr">
        <is>
          <t>3 · Trên lớp</t>
        </is>
      </c>
      <c r="B24" s="66" t="inlineStr">
        <is>
          <t>Lên Tay</t>
        </is>
      </c>
      <c r="C24" s="67" t="inlineStr">
        <is>
          <t>★3</t>
        </is>
      </c>
      <c r="D24" s="68" t="inlineStr">
        <is>
          <t>LT-3</t>
        </is>
      </c>
      <c r="E24" s="68" t="inlineStr">
        <is>
          <t>Số bài ET đúng ≥ 80% ≥ 40 bài</t>
        </is>
      </c>
      <c r="F24" s="69">
        <f>COUNTIF('Ma trận'!J$5:J$141,C24)</f>
        <v/>
      </c>
      <c r="G24" s="69" t="inlineStr">
        <is>
          <t>—</t>
        </is>
      </c>
      <c r="H24" s="69" t="n">
        <v>100</v>
      </c>
    </row>
    <row r="25">
      <c r="A25" s="65" t="inlineStr">
        <is>
          <t>3 · Trên lớp</t>
        </is>
      </c>
      <c r="B25" s="66" t="inlineStr">
        <is>
          <t>Lên Tay</t>
        </is>
      </c>
      <c r="C25" s="70" t="inlineStr">
        <is>
          <t>★4</t>
        </is>
      </c>
      <c r="D25" s="68" t="inlineStr">
        <is>
          <t>LT-4 + B4·1T</t>
        </is>
      </c>
      <c r="E25" s="68" t="inlineStr">
        <is>
          <t>Số bài ET đúng ≥ 80% ≥ 60 bài · VÀ trong 1 tháng: BTVN đúng trung bình ≥ 85%</t>
        </is>
      </c>
      <c r="F25" s="69">
        <f>COUNTIF('Ma trận'!J$5:J$141,C25)</f>
        <v/>
      </c>
      <c r="G25" s="69" t="inlineStr">
        <is>
          <t>Có (GV trao)</t>
        </is>
      </c>
      <c r="H25" s="69" t="n">
        <v>200</v>
      </c>
    </row>
    <row r="26">
      <c r="A26" s="65" t="inlineStr">
        <is>
          <t>3 · Trên lớp</t>
        </is>
      </c>
      <c r="B26" s="66" t="inlineStr">
        <is>
          <t>Lên Tay</t>
        </is>
      </c>
      <c r="C26" s="70" t="inlineStr">
        <is>
          <t>★5</t>
        </is>
      </c>
      <c r="D26" s="68" t="inlineStr">
        <is>
          <t>LT-5 + B3·3T + B5·3T</t>
        </is>
      </c>
      <c r="E26" s="68" t="inlineStr">
        <is>
          <t>Số bài ET đúng ≥ 80% ≥ 90 bài · VÀ 3 tháng liên tiếp: MT top 10% khối · BTVN đúng trung bình ≥ 90%</t>
        </is>
      </c>
      <c r="F26" s="69">
        <f>COUNTIF('Ma trận'!J$5:J$141,C26)</f>
        <v/>
      </c>
      <c r="G26" s="69" t="inlineStr">
        <is>
          <t>Có (GV trao)</t>
        </is>
      </c>
      <c r="H26" s="69" t="n">
        <v>300</v>
      </c>
    </row>
    <row r="27">
      <c r="A27" s="65" t="inlineStr">
        <is>
          <t>3 · Trên lớp</t>
        </is>
      </c>
      <c r="B27" s="66" t="inlineStr">
        <is>
          <t>Lên Bảng</t>
        </is>
      </c>
      <c r="C27" s="67" t="inlineStr">
        <is>
          <t>★1</t>
        </is>
      </c>
      <c r="D27" s="68" t="inlineStr">
        <is>
          <t>LB-1</t>
        </is>
      </c>
      <c r="E27" s="68" t="inlineStr">
        <is>
          <t>Số lần vào Nhất / Nhì / Giải 3 xếp hạng buổi ≥ 3 lần</t>
        </is>
      </c>
      <c r="F27" s="69">
        <f>COUNTIF('Ma trận'!K$5:K$141,C27)</f>
        <v/>
      </c>
      <c r="G27" s="69" t="inlineStr">
        <is>
          <t>—</t>
        </is>
      </c>
      <c r="H27" s="69" t="n">
        <v>0</v>
      </c>
    </row>
    <row r="28">
      <c r="A28" s="65" t="inlineStr">
        <is>
          <t>3 · Trên lớp</t>
        </is>
      </c>
      <c r="B28" s="66" t="inlineStr">
        <is>
          <t>Lên Bảng</t>
        </is>
      </c>
      <c r="C28" s="67" t="inlineStr">
        <is>
          <t>★2</t>
        </is>
      </c>
      <c r="D28" s="68" t="inlineStr">
        <is>
          <t>LB-2</t>
        </is>
      </c>
      <c r="E28" s="68" t="inlineStr">
        <is>
          <t>Số lần vào Nhất / Nhì / Giải 3 xếp hạng buổi ≥ 15 lần</t>
        </is>
      </c>
      <c r="F28" s="69">
        <f>COUNTIF('Ma trận'!K$5:K$141,C28)</f>
        <v/>
      </c>
      <c r="G28" s="69" t="inlineStr">
        <is>
          <t>—</t>
        </is>
      </c>
      <c r="H28" s="69" t="n">
        <v>0</v>
      </c>
    </row>
    <row r="29">
      <c r="A29" s="65" t="inlineStr">
        <is>
          <t>3 · Trên lớp</t>
        </is>
      </c>
      <c r="B29" s="66" t="inlineStr">
        <is>
          <t>Lên Bảng</t>
        </is>
      </c>
      <c r="C29" s="67" t="inlineStr">
        <is>
          <t>★3</t>
        </is>
      </c>
      <c r="D29" s="68" t="inlineStr">
        <is>
          <t>LB-3</t>
        </is>
      </c>
      <c r="E29" s="68" t="inlineStr">
        <is>
          <t>Số lần vào Nhất / Nhì / Giải 3 xếp hạng buổi ≥ 40 lần</t>
        </is>
      </c>
      <c r="F29" s="69">
        <f>COUNTIF('Ma trận'!K$5:K$141,C29)</f>
        <v/>
      </c>
      <c r="G29" s="69" t="inlineStr">
        <is>
          <t>—</t>
        </is>
      </c>
      <c r="H29" s="69" t="n">
        <v>100</v>
      </c>
    </row>
    <row r="30">
      <c r="A30" s="65" t="inlineStr">
        <is>
          <t>3 · Trên lớp</t>
        </is>
      </c>
      <c r="B30" s="66" t="inlineStr">
        <is>
          <t>Lên Bảng</t>
        </is>
      </c>
      <c r="C30" s="70" t="inlineStr">
        <is>
          <t>★4</t>
        </is>
      </c>
      <c r="D30" s="68" t="inlineStr">
        <is>
          <t>LB-4 + B1·1T</t>
        </is>
      </c>
      <c r="E30" s="68" t="inlineStr">
        <is>
          <t>Số lần vào Nhất / Nhì / Giải 3 xếp hạng buổi ≥ 60 lần · VÀ trong 1 tháng: ET đúng ≥ 80% ở ≥ 3/4 số bài ET</t>
        </is>
      </c>
      <c r="F30" s="69">
        <f>COUNTIF('Ma trận'!K$5:K$141,C30)</f>
        <v/>
      </c>
      <c r="G30" s="69" t="inlineStr">
        <is>
          <t>Có (GV trao)</t>
        </is>
      </c>
      <c r="H30" s="69" t="n">
        <v>200</v>
      </c>
    </row>
    <row r="31">
      <c r="A31" s="65" t="inlineStr">
        <is>
          <t>3 · Trên lớp</t>
        </is>
      </c>
      <c r="B31" s="66" t="inlineStr">
        <is>
          <t>Lên Bảng</t>
        </is>
      </c>
      <c r="C31" s="70" t="inlineStr">
        <is>
          <t>★5</t>
        </is>
      </c>
      <c r="D31" s="68" t="inlineStr">
        <is>
          <t>LB-5 + A1·3T + B1·3T</t>
        </is>
      </c>
      <c r="E31" s="68" t="inlineStr">
        <is>
          <t>Số lần vào Nhất / Nhì / Giải 3 xếp hạng buổi ≥ 90 lần · VÀ 3 tháng liên tiếp: Đi học đủ mọi buổi (vắng thì đã học bù) · ET đúng ≥ 80% ở ≥ 3/4 số bài ET</t>
        </is>
      </c>
      <c r="F31" s="69">
        <f>COUNTIF('Ma trận'!K$5:K$141,C31)</f>
        <v/>
      </c>
      <c r="G31" s="69" t="inlineStr">
        <is>
          <t>Có (GV trao)</t>
        </is>
      </c>
      <c r="H31" s="69" t="n">
        <v>300</v>
      </c>
    </row>
    <row r="32">
      <c r="A32" s="65" t="inlineStr">
        <is>
          <t>3 · Trên lớp</t>
        </is>
      </c>
      <c r="B32" s="66" t="inlineStr">
        <is>
          <t>Vững Bước</t>
        </is>
      </c>
      <c r="C32" s="67" t="inlineStr">
        <is>
          <t>★1</t>
        </is>
      </c>
      <c r="D32" s="68" t="inlineStr">
        <is>
          <t>VB-1</t>
        </is>
      </c>
      <c r="E32" s="68" t="inlineStr">
        <is>
          <t>Số tháng ET tốt hơn tháng trước (hoặc giữ ≥ 90%) ≥ 1 tháng</t>
        </is>
      </c>
      <c r="F32" s="69">
        <f>COUNTIF('Ma trận'!L$5:L$141,C32)</f>
        <v/>
      </c>
      <c r="G32" s="69" t="inlineStr">
        <is>
          <t>—</t>
        </is>
      </c>
      <c r="H32" s="69" t="n">
        <v>0</v>
      </c>
    </row>
    <row r="33">
      <c r="A33" s="65" t="inlineStr">
        <is>
          <t>3 · Trên lớp</t>
        </is>
      </c>
      <c r="B33" s="66" t="inlineStr">
        <is>
          <t>Vững Bước</t>
        </is>
      </c>
      <c r="C33" s="67" t="inlineStr">
        <is>
          <t>★2</t>
        </is>
      </c>
      <c r="D33" s="68" t="inlineStr">
        <is>
          <t>VB-2</t>
        </is>
      </c>
      <c r="E33" s="68" t="inlineStr">
        <is>
          <t>Số tháng ET tốt hơn tháng trước (hoặc giữ ≥ 90%) ≥ 3 tháng</t>
        </is>
      </c>
      <c r="F33" s="69">
        <f>COUNTIF('Ma trận'!L$5:L$141,C33)</f>
        <v/>
      </c>
      <c r="G33" s="69" t="inlineStr">
        <is>
          <t>—</t>
        </is>
      </c>
      <c r="H33" s="69" t="n">
        <v>0</v>
      </c>
    </row>
    <row r="34">
      <c r="A34" s="65" t="inlineStr">
        <is>
          <t>3 · Trên lớp</t>
        </is>
      </c>
      <c r="B34" s="66" t="inlineStr">
        <is>
          <t>Vững Bước</t>
        </is>
      </c>
      <c r="C34" s="67" t="inlineStr">
        <is>
          <t>★3</t>
        </is>
      </c>
      <c r="D34" s="68" t="inlineStr">
        <is>
          <t>VB-3</t>
        </is>
      </c>
      <c r="E34" s="68" t="inlineStr">
        <is>
          <t>Số tháng ET tốt hơn tháng trước (hoặc giữ ≥ 90%) ≥ 6 tháng</t>
        </is>
      </c>
      <c r="F34" s="69">
        <f>COUNTIF('Ma trận'!L$5:L$141,C34)</f>
        <v/>
      </c>
      <c r="G34" s="69" t="inlineStr">
        <is>
          <t>—</t>
        </is>
      </c>
      <c r="H34" s="69" t="n">
        <v>100</v>
      </c>
    </row>
    <row r="35">
      <c r="A35" s="65" t="inlineStr">
        <is>
          <t>3 · Trên lớp</t>
        </is>
      </c>
      <c r="B35" s="66" t="inlineStr">
        <is>
          <t>Vững Bước</t>
        </is>
      </c>
      <c r="C35" s="70" t="inlineStr">
        <is>
          <t>★4</t>
        </is>
      </c>
      <c r="D35" s="68" t="inlineStr">
        <is>
          <t>VB-4 + C2·1T</t>
        </is>
      </c>
      <c r="E35" s="68" t="inlineStr">
        <is>
          <t>Số tháng ET tốt hơn tháng trước (hoặc giữ ≥ 90%) ≥ 8 tháng · VÀ trong 1 tháng: Tỉ lệ đúng BTVN tăng ≥ 5 điểm so với tháng trước (hoặc giữ ≥ 90%)</t>
        </is>
      </c>
      <c r="F35" s="69">
        <f>COUNTIF('Ma trận'!L$5:L$141,C35)</f>
        <v/>
      </c>
      <c r="G35" s="69" t="inlineStr">
        <is>
          <t>Có (GV trao)</t>
        </is>
      </c>
      <c r="H35" s="69" t="n">
        <v>200</v>
      </c>
    </row>
    <row r="36">
      <c r="A36" s="65" t="inlineStr">
        <is>
          <t>3 · Trên lớp</t>
        </is>
      </c>
      <c r="B36" s="66" t="inlineStr">
        <is>
          <t>Vững Bước</t>
        </is>
      </c>
      <c r="C36" s="70" t="inlineStr">
        <is>
          <t>★5</t>
        </is>
      </c>
      <c r="D36" s="68" t="inlineStr">
        <is>
          <t>VB-5 + C1·3T + C2·3T</t>
        </is>
      </c>
      <c r="E36" s="68" t="inlineStr">
        <is>
          <t>Số tháng ET tốt hơn tháng trước (hoặc giữ ≥ 90%) ≥ 10 tháng · VÀ 3 tháng liên tiếp: Hạng MT tăng so với tháng trước (hoặc giữ top 10%) · Tỉ lệ đúng BTVN tăng ≥ 5 điểm so với tháng trước (hoặc giữ ≥ 90%)</t>
        </is>
      </c>
      <c r="F36" s="69">
        <f>COUNTIF('Ma trận'!L$5:L$141,C36)</f>
        <v/>
      </c>
      <c r="G36" s="69" t="inlineStr">
        <is>
          <t>Có (GV trao)</t>
        </is>
      </c>
      <c r="H36" s="69" t="n">
        <v>300</v>
      </c>
    </row>
    <row r="37">
      <c r="A37" s="71" t="inlineStr">
        <is>
          <t>4 · Thi (MT)</t>
        </is>
      </c>
      <c r="B37" s="72" t="inlineStr">
        <is>
          <t>Dạn Dày</t>
        </is>
      </c>
      <c r="C37" s="73" t="inlineStr">
        <is>
          <t>★1</t>
        </is>
      </c>
      <c r="D37" s="74" t="inlineStr">
        <is>
          <t>DD-1</t>
        </is>
      </c>
      <c r="E37" s="74" t="inlineStr">
        <is>
          <t>Số kỳ MT đã dự (kể cả thi lại) ≥ 1 kỳ</t>
        </is>
      </c>
      <c r="F37" s="75">
        <f>COUNTIF('Ma trận'!M$5:M$141,C37)</f>
        <v/>
      </c>
      <c r="G37" s="75" t="inlineStr">
        <is>
          <t>—</t>
        </is>
      </c>
      <c r="H37" s="75" t="n">
        <v>0</v>
      </c>
    </row>
    <row r="38">
      <c r="A38" s="71" t="inlineStr">
        <is>
          <t>4 · Thi (MT)</t>
        </is>
      </c>
      <c r="B38" s="72" t="inlineStr">
        <is>
          <t>Dạn Dày</t>
        </is>
      </c>
      <c r="C38" s="73" t="inlineStr">
        <is>
          <t>★2</t>
        </is>
      </c>
      <c r="D38" s="74" t="inlineStr">
        <is>
          <t>DD-2</t>
        </is>
      </c>
      <c r="E38" s="74" t="inlineStr">
        <is>
          <t>Số kỳ MT đã dự (kể cả thi lại) ≥ 4 kỳ</t>
        </is>
      </c>
      <c r="F38" s="75">
        <f>COUNTIF('Ma trận'!M$5:M$141,C38)</f>
        <v/>
      </c>
      <c r="G38" s="75" t="inlineStr">
        <is>
          <t>—</t>
        </is>
      </c>
      <c r="H38" s="75" t="n">
        <v>0</v>
      </c>
    </row>
    <row r="39">
      <c r="A39" s="71" t="inlineStr">
        <is>
          <t>4 · Thi (MT)</t>
        </is>
      </c>
      <c r="B39" s="72" t="inlineStr">
        <is>
          <t>Dạn Dày</t>
        </is>
      </c>
      <c r="C39" s="73" t="inlineStr">
        <is>
          <t>★3</t>
        </is>
      </c>
      <c r="D39" s="74" t="inlineStr">
        <is>
          <t>DD-3</t>
        </is>
      </c>
      <c r="E39" s="74" t="inlineStr">
        <is>
          <t>Số kỳ MT đã dự (kể cả thi lại) ≥ 8 kỳ</t>
        </is>
      </c>
      <c r="F39" s="75">
        <f>COUNTIF('Ma trận'!M$5:M$141,C39)</f>
        <v/>
      </c>
      <c r="G39" s="75" t="inlineStr">
        <is>
          <t>—</t>
        </is>
      </c>
      <c r="H39" s="75" t="n">
        <v>100</v>
      </c>
    </row>
    <row r="40">
      <c r="A40" s="71" t="inlineStr">
        <is>
          <t>4 · Thi (MT)</t>
        </is>
      </c>
      <c r="B40" s="72" t="inlineStr">
        <is>
          <t>Dạn Dày</t>
        </is>
      </c>
      <c r="C40" s="76" t="inlineStr">
        <is>
          <t>★4</t>
        </is>
      </c>
      <c r="D40" s="74" t="inlineStr">
        <is>
          <t>DD-4 + A1·1T + A2·1T</t>
        </is>
      </c>
      <c r="E40" s="74" t="inlineStr">
        <is>
          <t>Số kỳ MT đã dự (kể cả thi lại) ≥ 10 kỳ · VÀ trong 1 tháng: Đi học đủ mọi buổi (vắng thì đã học bù) · Nộp đủ, đúng hạn mọi BTVN</t>
        </is>
      </c>
      <c r="F40" s="75">
        <f>COUNTIF('Ma trận'!M$5:M$141,C40)</f>
        <v/>
      </c>
      <c r="G40" s="75" t="inlineStr">
        <is>
          <t>Có (GV trao)</t>
        </is>
      </c>
      <c r="H40" s="75" t="n">
        <v>200</v>
      </c>
    </row>
    <row r="41">
      <c r="A41" s="71" t="inlineStr">
        <is>
          <t>4 · Thi (MT)</t>
        </is>
      </c>
      <c r="B41" s="72" t="inlineStr">
        <is>
          <t>Dạn Dày</t>
        </is>
      </c>
      <c r="C41" s="76" t="inlineStr">
        <is>
          <t>★5</t>
        </is>
      </c>
      <c r="D41" s="74" t="inlineStr">
        <is>
          <t>DD-5 + A1·3T + A2·3T + A6·3T</t>
        </is>
      </c>
      <c r="E41" s="74" t="inlineStr">
        <is>
          <t>Số kỳ MT đã dự (kể cả thi lại) ≥ 15 kỳ · VÀ 3 tháng liên tiếp: Đi học đủ mọi buổi (vắng thì đã học bù) · Nộp đủ, đúng hạn mọi BTVN · Pass Thử thách ≥ 15 ngày</t>
        </is>
      </c>
      <c r="F41" s="75">
        <f>COUNTIF('Ma trận'!M$5:M$141,C41)</f>
        <v/>
      </c>
      <c r="G41" s="75" t="inlineStr">
        <is>
          <t>Có (GV trao)</t>
        </is>
      </c>
      <c r="H41" s="75" t="n">
        <v>300</v>
      </c>
    </row>
    <row r="42">
      <c r="A42" s="71" t="inlineStr">
        <is>
          <t>4 · Thi (MT)</t>
        </is>
      </c>
      <c r="B42" s="72" t="inlineStr">
        <is>
          <t>Tốp Đầu</t>
        </is>
      </c>
      <c r="C42" s="73" t="inlineStr">
        <is>
          <t>★1</t>
        </is>
      </c>
      <c r="D42" s="74" t="inlineStr">
        <is>
          <t>TD-1</t>
        </is>
      </c>
      <c r="E42" s="74" t="inlineStr">
        <is>
          <t>Số lần MT top 30% khối ≥ 1 lần</t>
        </is>
      </c>
      <c r="F42" s="75">
        <f>COUNTIF('Ma trận'!N$5:N$141,C42)</f>
        <v/>
      </c>
      <c r="G42" s="75" t="inlineStr">
        <is>
          <t>—</t>
        </is>
      </c>
      <c r="H42" s="75" t="n">
        <v>0</v>
      </c>
    </row>
    <row r="43">
      <c r="A43" s="71" t="inlineStr">
        <is>
          <t>4 · Thi (MT)</t>
        </is>
      </c>
      <c r="B43" s="72" t="inlineStr">
        <is>
          <t>Tốp Đầu</t>
        </is>
      </c>
      <c r="C43" s="73" t="inlineStr">
        <is>
          <t>★2</t>
        </is>
      </c>
      <c r="D43" s="74" t="inlineStr">
        <is>
          <t>TD-2</t>
        </is>
      </c>
      <c r="E43" s="74" t="inlineStr">
        <is>
          <t>Số lần MT top 30% khối ≥ 3 lần</t>
        </is>
      </c>
      <c r="F43" s="75">
        <f>COUNTIF('Ma trận'!N$5:N$141,C43)</f>
        <v/>
      </c>
      <c r="G43" s="75" t="inlineStr">
        <is>
          <t>—</t>
        </is>
      </c>
      <c r="H43" s="75" t="n">
        <v>0</v>
      </c>
    </row>
    <row r="44">
      <c r="A44" s="71" t="inlineStr">
        <is>
          <t>4 · Thi (MT)</t>
        </is>
      </c>
      <c r="B44" s="72" t="inlineStr">
        <is>
          <t>Tốp Đầu</t>
        </is>
      </c>
      <c r="C44" s="73" t="inlineStr">
        <is>
          <t>★3</t>
        </is>
      </c>
      <c r="D44" s="74" t="inlineStr">
        <is>
          <t>TD-3</t>
        </is>
      </c>
      <c r="E44" s="74" t="inlineStr">
        <is>
          <t>Số lần MT top 30% khối ≥ 6 lần</t>
        </is>
      </c>
      <c r="F44" s="75">
        <f>COUNTIF('Ma trận'!N$5:N$141,C44)</f>
        <v/>
      </c>
      <c r="G44" s="75" t="inlineStr">
        <is>
          <t>—</t>
        </is>
      </c>
      <c r="H44" s="75" t="n">
        <v>100</v>
      </c>
    </row>
    <row r="45">
      <c r="A45" s="71" t="inlineStr">
        <is>
          <t>4 · Thi (MT)</t>
        </is>
      </c>
      <c r="B45" s="72" t="inlineStr">
        <is>
          <t>Tốp Đầu</t>
        </is>
      </c>
      <c r="C45" s="76" t="inlineStr">
        <is>
          <t>★4</t>
        </is>
      </c>
      <c r="D45" s="74" t="inlineStr">
        <is>
          <t>TD-4 + B3·1T</t>
        </is>
      </c>
      <c r="E45" s="74" t="inlineStr">
        <is>
          <t>Số lần MT top 30% khối ≥ 8 lần · VÀ trong 1 tháng: MT top 10% khối</t>
        </is>
      </c>
      <c r="F45" s="75">
        <f>COUNTIF('Ma trận'!N$5:N$141,C45)</f>
        <v/>
      </c>
      <c r="G45" s="75" t="inlineStr">
        <is>
          <t>Có (GV trao)</t>
        </is>
      </c>
      <c r="H45" s="75" t="n">
        <v>200</v>
      </c>
    </row>
    <row r="46">
      <c r="A46" s="71" t="inlineStr">
        <is>
          <t>4 · Thi (MT)</t>
        </is>
      </c>
      <c r="B46" s="72" t="inlineStr">
        <is>
          <t>Tốp Đầu</t>
        </is>
      </c>
      <c r="C46" s="76" t="inlineStr">
        <is>
          <t>★5</t>
        </is>
      </c>
      <c r="D46" s="74" t="inlineStr">
        <is>
          <t>TD-5 + B1·3T + B3·3T</t>
        </is>
      </c>
      <c r="E46" s="74" t="inlineStr">
        <is>
          <t>Số lần MT top 30% khối ≥ 10 lần · VÀ 3 tháng liên tiếp: ET đúng ≥ 80% ở ≥ 3/4 số bài ET · MT top 10% khối</t>
        </is>
      </c>
      <c r="F46" s="75">
        <f>COUNTIF('Ma trận'!N$5:N$141,C46)</f>
        <v/>
      </c>
      <c r="G46" s="75" t="inlineStr">
        <is>
          <t>Có (GV trao)</t>
        </is>
      </c>
      <c r="H46" s="75" t="n">
        <v>300</v>
      </c>
    </row>
    <row r="47">
      <c r="A47" s="71" t="inlineStr">
        <is>
          <t>4 · Thi (MT)</t>
        </is>
      </c>
      <c r="B47" s="72" t="inlineStr">
        <is>
          <t>Bứt Phá</t>
        </is>
      </c>
      <c r="C47" s="73" t="inlineStr">
        <is>
          <t>★1</t>
        </is>
      </c>
      <c r="D47" s="74" t="inlineStr">
        <is>
          <t>BP-1</t>
        </is>
      </c>
      <c r="E47" s="74" t="inlineStr">
        <is>
          <t>Số lần hạng MT tăng (hoặc giữ top 10%) ≥ 1 lần</t>
        </is>
      </c>
      <c r="F47" s="75">
        <f>COUNTIF('Ma trận'!O$5:O$141,C47)</f>
        <v/>
      </c>
      <c r="G47" s="75" t="inlineStr">
        <is>
          <t>—</t>
        </is>
      </c>
      <c r="H47" s="75" t="n">
        <v>0</v>
      </c>
    </row>
    <row r="48">
      <c r="A48" s="71" t="inlineStr">
        <is>
          <t>4 · Thi (MT)</t>
        </is>
      </c>
      <c r="B48" s="72" t="inlineStr">
        <is>
          <t>Bứt Phá</t>
        </is>
      </c>
      <c r="C48" s="73" t="inlineStr">
        <is>
          <t>★2</t>
        </is>
      </c>
      <c r="D48" s="74" t="inlineStr">
        <is>
          <t>BP-2</t>
        </is>
      </c>
      <c r="E48" s="74" t="inlineStr">
        <is>
          <t>Số lần hạng MT tăng (hoặc giữ top 10%) ≥ 3 lần</t>
        </is>
      </c>
      <c r="F48" s="75">
        <f>COUNTIF('Ma trận'!O$5:O$141,C48)</f>
        <v/>
      </c>
      <c r="G48" s="75" t="inlineStr">
        <is>
          <t>—</t>
        </is>
      </c>
      <c r="H48" s="75" t="n">
        <v>0</v>
      </c>
    </row>
    <row r="49">
      <c r="A49" s="71" t="inlineStr">
        <is>
          <t>4 · Thi (MT)</t>
        </is>
      </c>
      <c r="B49" s="72" t="inlineStr">
        <is>
          <t>Bứt Phá</t>
        </is>
      </c>
      <c r="C49" s="73" t="inlineStr">
        <is>
          <t>★3</t>
        </is>
      </c>
      <c r="D49" s="74" t="inlineStr">
        <is>
          <t>BP-3</t>
        </is>
      </c>
      <c r="E49" s="74" t="inlineStr">
        <is>
          <t>Số lần hạng MT tăng (hoặc giữ top 10%) ≥ 6 lần</t>
        </is>
      </c>
      <c r="F49" s="75">
        <f>COUNTIF('Ma trận'!O$5:O$141,C49)</f>
        <v/>
      </c>
      <c r="G49" s="75" t="inlineStr">
        <is>
          <t>—</t>
        </is>
      </c>
      <c r="H49" s="75" t="n">
        <v>100</v>
      </c>
    </row>
    <row r="50">
      <c r="A50" s="71" t="inlineStr">
        <is>
          <t>4 · Thi (MT)</t>
        </is>
      </c>
      <c r="B50" s="72" t="inlineStr">
        <is>
          <t>Bứt Phá</t>
        </is>
      </c>
      <c r="C50" s="76" t="inlineStr">
        <is>
          <t>★4</t>
        </is>
      </c>
      <c r="D50" s="74" t="inlineStr">
        <is>
          <t>BP-4 + C2·1T</t>
        </is>
      </c>
      <c r="E50" s="74" t="inlineStr">
        <is>
          <t>Số lần hạng MT tăng (hoặc giữ top 10%) ≥ 8 lần · VÀ trong 1 tháng: Tỉ lệ đúng BTVN tăng ≥ 5 điểm so với tháng trước (hoặc giữ ≥ 90%)</t>
        </is>
      </c>
      <c r="F50" s="75">
        <f>COUNTIF('Ma trận'!O$5:O$141,C50)</f>
        <v/>
      </c>
      <c r="G50" s="75" t="inlineStr">
        <is>
          <t>Có (GV trao)</t>
        </is>
      </c>
      <c r="H50" s="75" t="n">
        <v>200</v>
      </c>
    </row>
    <row r="51">
      <c r="A51" s="71" t="inlineStr">
        <is>
          <t>4 · Thi (MT)</t>
        </is>
      </c>
      <c r="B51" s="72" t="inlineStr">
        <is>
          <t>Bứt Phá</t>
        </is>
      </c>
      <c r="C51" s="76" t="inlineStr">
        <is>
          <t>★5</t>
        </is>
      </c>
      <c r="D51" s="74" t="inlineStr">
        <is>
          <t>BP-5 + C2·3T + C3·3T</t>
        </is>
      </c>
      <c r="E51" s="74" t="inlineStr">
        <is>
          <t>Số lần hạng MT tăng (hoặc giữ top 10%) ≥ 10 lần · VÀ 3 tháng liên tiếp: Tỉ lệ đúng BTVN tăng ≥ 5 điểm so với tháng trước (hoặc giữ ≥ 90%) · Lấp ≥ 1 lỗ (dạng yếu → đạt)</t>
        </is>
      </c>
      <c r="F51" s="75">
        <f>COUNTIF('Ma trận'!O$5:O$141,C51)</f>
        <v/>
      </c>
      <c r="G51" s="75" t="inlineStr">
        <is>
          <t>Có (GV trao)</t>
        </is>
      </c>
      <c r="H51" s="75" t="n">
        <v>300</v>
      </c>
    </row>
    <row r="52">
      <c r="A52" s="77" t="inlineStr">
        <is>
          <t>5 · Thử thách</t>
        </is>
      </c>
      <c r="B52" s="78" t="inlineStr">
        <is>
          <t>Bền Bỉ</t>
        </is>
      </c>
      <c r="C52" s="79" t="inlineStr">
        <is>
          <t>★1</t>
        </is>
      </c>
      <c r="D52" s="80" t="inlineStr">
        <is>
          <t>BB-1</t>
        </is>
      </c>
      <c r="E52" s="80" t="inlineStr">
        <is>
          <t>Tổng số ngày pass Thử thách ≥ 10 ngày</t>
        </is>
      </c>
      <c r="F52" s="81">
        <f>COUNTIF('Ma trận'!P$5:P$141,C52)</f>
        <v/>
      </c>
      <c r="G52" s="81" t="inlineStr">
        <is>
          <t>—</t>
        </is>
      </c>
      <c r="H52" s="81" t="n">
        <v>0</v>
      </c>
    </row>
    <row r="53">
      <c r="A53" s="77" t="inlineStr">
        <is>
          <t>5 · Thử thách</t>
        </is>
      </c>
      <c r="B53" s="78" t="inlineStr">
        <is>
          <t>Bền Bỉ</t>
        </is>
      </c>
      <c r="C53" s="79" t="inlineStr">
        <is>
          <t>★2</t>
        </is>
      </c>
      <c r="D53" s="80" t="inlineStr">
        <is>
          <t>BB-2</t>
        </is>
      </c>
      <c r="E53" s="80" t="inlineStr">
        <is>
          <t>Tổng số ngày pass Thử thách ≥ 40 ngày</t>
        </is>
      </c>
      <c r="F53" s="81">
        <f>COUNTIF('Ma trận'!P$5:P$141,C53)</f>
        <v/>
      </c>
      <c r="G53" s="81" t="inlineStr">
        <is>
          <t>—</t>
        </is>
      </c>
      <c r="H53" s="81" t="n">
        <v>0</v>
      </c>
    </row>
    <row r="54">
      <c r="A54" s="77" t="inlineStr">
        <is>
          <t>5 · Thử thách</t>
        </is>
      </c>
      <c r="B54" s="78" t="inlineStr">
        <is>
          <t>Bền Bỉ</t>
        </is>
      </c>
      <c r="C54" s="79" t="inlineStr">
        <is>
          <t>★3</t>
        </is>
      </c>
      <c r="D54" s="80" t="inlineStr">
        <is>
          <t>BB-3</t>
        </is>
      </c>
      <c r="E54" s="80" t="inlineStr">
        <is>
          <t>Tổng số ngày pass Thử thách ≥ 100 ngày</t>
        </is>
      </c>
      <c r="F54" s="81">
        <f>COUNTIF('Ma trận'!P$5:P$141,C54)</f>
        <v/>
      </c>
      <c r="G54" s="81" t="inlineStr">
        <is>
          <t>—</t>
        </is>
      </c>
      <c r="H54" s="81" t="n">
        <v>100</v>
      </c>
    </row>
    <row r="55">
      <c r="A55" s="77" t="inlineStr">
        <is>
          <t>5 · Thử thách</t>
        </is>
      </c>
      <c r="B55" s="78" t="inlineStr">
        <is>
          <t>Bền Bỉ</t>
        </is>
      </c>
      <c r="C55" s="82" t="inlineStr">
        <is>
          <t>★4</t>
        </is>
      </c>
      <c r="D55" s="80" t="inlineStr">
        <is>
          <t>BB-4 + A2·1T</t>
        </is>
      </c>
      <c r="E55" s="80" t="inlineStr">
        <is>
          <t>Tổng số ngày pass Thử thách ≥ 150 ngày · VÀ trong 1 tháng: Nộp đủ, đúng hạn mọi BTVN</t>
        </is>
      </c>
      <c r="F55" s="81">
        <f>COUNTIF('Ma trận'!P$5:P$141,C55)</f>
        <v/>
      </c>
      <c r="G55" s="81" t="inlineStr">
        <is>
          <t>Có (GV trao)</t>
        </is>
      </c>
      <c r="H55" s="81" t="n">
        <v>200</v>
      </c>
    </row>
    <row r="56">
      <c r="A56" s="77" t="inlineStr">
        <is>
          <t>5 · Thử thách</t>
        </is>
      </c>
      <c r="B56" s="78" t="inlineStr">
        <is>
          <t>Bền Bỉ</t>
        </is>
      </c>
      <c r="C56" s="82" t="inlineStr">
        <is>
          <t>★5</t>
        </is>
      </c>
      <c r="D56" s="80" t="inlineStr">
        <is>
          <t>BB-5 + A1·3T + A2·3T + A4·3T</t>
        </is>
      </c>
      <c r="E56" s="80" t="inlineStr">
        <is>
          <t>Tổng số ngày pass Thử thách ≥ 250 ngày · VÀ 3 tháng liên tiếp: Đi học đủ mọi buổi (vắng thì đã học bù) · Nộp đủ, đúng hạn mọi BTVN · Tự luyện ≥ 200 câu đúng</t>
        </is>
      </c>
      <c r="F56" s="81">
        <f>COUNTIF('Ma trận'!P$5:P$141,C56)</f>
        <v/>
      </c>
      <c r="G56" s="81" t="inlineStr">
        <is>
          <t>Có (GV trao)</t>
        </is>
      </c>
      <c r="H56" s="81" t="n">
        <v>300</v>
      </c>
    </row>
    <row r="57">
      <c r="A57" s="77" t="inlineStr">
        <is>
          <t>5 · Thử thách</t>
        </is>
      </c>
      <c r="B57" s="78" t="inlineStr">
        <is>
          <t>Tuyệt Đối</t>
        </is>
      </c>
      <c r="C57" s="79" t="inlineStr">
        <is>
          <t>★1</t>
        </is>
      </c>
      <c r="D57" s="80" t="inlineStr">
        <is>
          <t>TDO-1</t>
        </is>
      </c>
      <c r="E57" s="80" t="inlineStr">
        <is>
          <t>Số lượt Thử thách 10/10 ≥ 5 lượt</t>
        </is>
      </c>
      <c r="F57" s="81">
        <f>COUNTIF('Ma trận'!Q$5:Q$141,C57)</f>
        <v/>
      </c>
      <c r="G57" s="81" t="inlineStr">
        <is>
          <t>—</t>
        </is>
      </c>
      <c r="H57" s="81" t="n">
        <v>0</v>
      </c>
    </row>
    <row r="58">
      <c r="A58" s="77" t="inlineStr">
        <is>
          <t>5 · Thử thách</t>
        </is>
      </c>
      <c r="B58" s="78" t="inlineStr">
        <is>
          <t>Tuyệt Đối</t>
        </is>
      </c>
      <c r="C58" s="79" t="inlineStr">
        <is>
          <t>★2</t>
        </is>
      </c>
      <c r="D58" s="80" t="inlineStr">
        <is>
          <t>TDO-2</t>
        </is>
      </c>
      <c r="E58" s="80" t="inlineStr">
        <is>
          <t>Số lượt Thử thách 10/10 ≥ 25 lượt</t>
        </is>
      </c>
      <c r="F58" s="81">
        <f>COUNTIF('Ma trận'!Q$5:Q$141,C58)</f>
        <v/>
      </c>
      <c r="G58" s="81" t="inlineStr">
        <is>
          <t>—</t>
        </is>
      </c>
      <c r="H58" s="81" t="n">
        <v>0</v>
      </c>
    </row>
    <row r="59">
      <c r="A59" s="77" t="inlineStr">
        <is>
          <t>5 · Thử thách</t>
        </is>
      </c>
      <c r="B59" s="78" t="inlineStr">
        <is>
          <t>Tuyệt Đối</t>
        </is>
      </c>
      <c r="C59" s="79" t="inlineStr">
        <is>
          <t>★3</t>
        </is>
      </c>
      <c r="D59" s="80" t="inlineStr">
        <is>
          <t>TDO-3</t>
        </is>
      </c>
      <c r="E59" s="80" t="inlineStr">
        <is>
          <t>Số lượt Thử thách 10/10 ≥ 80 lượt</t>
        </is>
      </c>
      <c r="F59" s="81">
        <f>COUNTIF('Ma trận'!Q$5:Q$141,C59)</f>
        <v/>
      </c>
      <c r="G59" s="81" t="inlineStr">
        <is>
          <t>—</t>
        </is>
      </c>
      <c r="H59" s="81" t="n">
        <v>100</v>
      </c>
    </row>
    <row r="60">
      <c r="A60" s="77" t="inlineStr">
        <is>
          <t>5 · Thử thách</t>
        </is>
      </c>
      <c r="B60" s="78" t="inlineStr">
        <is>
          <t>Tuyệt Đối</t>
        </is>
      </c>
      <c r="C60" s="82" t="inlineStr">
        <is>
          <t>★4</t>
        </is>
      </c>
      <c r="D60" s="80" t="inlineStr">
        <is>
          <t>TDO-4 + B1·1T</t>
        </is>
      </c>
      <c r="E60" s="80" t="inlineStr">
        <is>
          <t>Số lượt Thử thách 10/10 ≥ 120 lượt · VÀ trong 1 tháng: ET đúng ≥ 80% ở ≥ 3/4 số bài ET</t>
        </is>
      </c>
      <c r="F60" s="81">
        <f>COUNTIF('Ma trận'!Q$5:Q$141,C60)</f>
        <v/>
      </c>
      <c r="G60" s="81" t="inlineStr">
        <is>
          <t>Có (GV trao)</t>
        </is>
      </c>
      <c r="H60" s="81" t="n">
        <v>200</v>
      </c>
    </row>
    <row r="61">
      <c r="A61" s="77" t="inlineStr">
        <is>
          <t>5 · Thử thách</t>
        </is>
      </c>
      <c r="B61" s="78" t="inlineStr">
        <is>
          <t>Tuyệt Đối</t>
        </is>
      </c>
      <c r="C61" s="82" t="inlineStr">
        <is>
          <t>★5</t>
        </is>
      </c>
      <c r="D61" s="80" t="inlineStr">
        <is>
          <t>TDO-5 + B1·3T + B5·3T</t>
        </is>
      </c>
      <c r="E61" s="80" t="inlineStr">
        <is>
          <t>Số lượt Thử thách 10/10 ≥ 180 lượt · VÀ 3 tháng liên tiếp: ET đúng ≥ 80% ở ≥ 3/4 số bài ET · BTVN đúng trung bình ≥ 90%</t>
        </is>
      </c>
      <c r="F61" s="81">
        <f>COUNTIF('Ma trận'!Q$5:Q$141,C61)</f>
        <v/>
      </c>
      <c r="G61" s="81" t="inlineStr">
        <is>
          <t>Có (GV trao)</t>
        </is>
      </c>
      <c r="H61" s="81" t="n">
        <v>300</v>
      </c>
    </row>
    <row r="62">
      <c r="A62" s="77" t="inlineStr">
        <is>
          <t>5 · Thử thách</t>
        </is>
      </c>
      <c r="B62" s="78" t="inlineStr">
        <is>
          <t>Lên Tầm</t>
        </is>
      </c>
      <c r="C62" s="79" t="inlineStr">
        <is>
          <t>★1</t>
        </is>
      </c>
      <c r="D62" s="80" t="inlineStr">
        <is>
          <t>LTA-1</t>
        </is>
      </c>
      <c r="E62" s="80" t="inlineStr">
        <is>
          <t>Số tháng tỉ lệ pass Thử thách tăng (hoặc giữ ≥ 90%) ≥ 1 tháng</t>
        </is>
      </c>
      <c r="F62" s="81">
        <f>COUNTIF('Ma trận'!R$5:R$141,C62)</f>
        <v/>
      </c>
      <c r="G62" s="81" t="inlineStr">
        <is>
          <t>—</t>
        </is>
      </c>
      <c r="H62" s="81" t="n">
        <v>0</v>
      </c>
    </row>
    <row r="63">
      <c r="A63" s="77" t="inlineStr">
        <is>
          <t>5 · Thử thách</t>
        </is>
      </c>
      <c r="B63" s="78" t="inlineStr">
        <is>
          <t>Lên Tầm</t>
        </is>
      </c>
      <c r="C63" s="79" t="inlineStr">
        <is>
          <t>★2</t>
        </is>
      </c>
      <c r="D63" s="80" t="inlineStr">
        <is>
          <t>LTA-2</t>
        </is>
      </c>
      <c r="E63" s="80" t="inlineStr">
        <is>
          <t>Số tháng tỉ lệ pass Thử thách tăng (hoặc giữ ≥ 90%) ≥ 3 tháng</t>
        </is>
      </c>
      <c r="F63" s="81">
        <f>COUNTIF('Ma trận'!R$5:R$141,C63)</f>
        <v/>
      </c>
      <c r="G63" s="81" t="inlineStr">
        <is>
          <t>—</t>
        </is>
      </c>
      <c r="H63" s="81" t="n">
        <v>0</v>
      </c>
    </row>
    <row r="64">
      <c r="A64" s="77" t="inlineStr">
        <is>
          <t>5 · Thử thách</t>
        </is>
      </c>
      <c r="B64" s="78" t="inlineStr">
        <is>
          <t>Lên Tầm</t>
        </is>
      </c>
      <c r="C64" s="79" t="inlineStr">
        <is>
          <t>★3</t>
        </is>
      </c>
      <c r="D64" s="80" t="inlineStr">
        <is>
          <t>LTA-3</t>
        </is>
      </c>
      <c r="E64" s="80" t="inlineStr">
        <is>
          <t>Số tháng tỉ lệ pass Thử thách tăng (hoặc giữ ≥ 90%) ≥ 6 tháng</t>
        </is>
      </c>
      <c r="F64" s="81">
        <f>COUNTIF('Ma trận'!R$5:R$141,C64)</f>
        <v/>
      </c>
      <c r="G64" s="81" t="inlineStr">
        <is>
          <t>—</t>
        </is>
      </c>
      <c r="H64" s="81" t="n">
        <v>100</v>
      </c>
    </row>
    <row r="65">
      <c r="A65" s="77" t="inlineStr">
        <is>
          <t>5 · Thử thách</t>
        </is>
      </c>
      <c r="B65" s="78" t="inlineStr">
        <is>
          <t>Lên Tầm</t>
        </is>
      </c>
      <c r="C65" s="82" t="inlineStr">
        <is>
          <t>★4</t>
        </is>
      </c>
      <c r="D65" s="80" t="inlineStr">
        <is>
          <t>LTA-4 + A5·1T</t>
        </is>
      </c>
      <c r="E65" s="80" t="inlineStr">
        <is>
          <t>Số tháng tỉ lệ pass Thử thách tăng (hoặc giữ ≥ 90%) ≥ 8 tháng · VÀ trong 1 tháng: Pass Thử thách ≥ 10 ngày</t>
        </is>
      </c>
      <c r="F65" s="81">
        <f>COUNTIF('Ma trận'!R$5:R$141,C65)</f>
        <v/>
      </c>
      <c r="G65" s="81" t="inlineStr">
        <is>
          <t>Có (GV trao)</t>
        </is>
      </c>
      <c r="H65" s="81" t="n">
        <v>200</v>
      </c>
    </row>
    <row r="66">
      <c r="A66" s="77" t="inlineStr">
        <is>
          <t>5 · Thử thách</t>
        </is>
      </c>
      <c r="B66" s="78" t="inlineStr">
        <is>
          <t>Lên Tầm</t>
        </is>
      </c>
      <c r="C66" s="82" t="inlineStr">
        <is>
          <t>★5</t>
        </is>
      </c>
      <c r="D66" s="80" t="inlineStr">
        <is>
          <t>LTA-5 + A6·3T + C3·3T</t>
        </is>
      </c>
      <c r="E66" s="80" t="inlineStr">
        <is>
          <t>Số tháng tỉ lệ pass Thử thách tăng (hoặc giữ ≥ 90%) ≥ 10 tháng · VÀ 3 tháng liên tiếp: Pass Thử thách ≥ 15 ngày · Lấp ≥ 1 lỗ (dạng yếu → đạt)</t>
        </is>
      </c>
      <c r="F66" s="81">
        <f>COUNTIF('Ma trận'!R$5:R$141,C66)</f>
        <v/>
      </c>
      <c r="G66" s="81" t="inlineStr">
        <is>
          <t>Có (GV trao)</t>
        </is>
      </c>
      <c r="H66" s="81" t="n">
        <v>300</v>
      </c>
    </row>
    <row r="67">
      <c r="A67" s="83" t="inlineStr">
        <is>
          <t>6 · Chinh phục dạng</t>
        </is>
      </c>
      <c r="B67" s="84" t="inlineStr">
        <is>
          <t>Khai Phá</t>
        </is>
      </c>
      <c r="C67" s="85" t="inlineStr">
        <is>
          <t>★1</t>
        </is>
      </c>
      <c r="D67" s="86" t="inlineStr">
        <is>
          <t>KP-1</t>
        </is>
      </c>
      <c r="E67" s="86" t="inlineStr">
        <is>
          <t>Số dạng đã luyện ≥ 5 câu ≥ 10 dạng</t>
        </is>
      </c>
      <c r="F67" s="87">
        <f>COUNTIF('Ma trận'!S$5:S$141,C67)</f>
        <v/>
      </c>
      <c r="G67" s="87" t="inlineStr">
        <is>
          <t>—</t>
        </is>
      </c>
      <c r="H67" s="87" t="n">
        <v>0</v>
      </c>
    </row>
    <row r="68">
      <c r="A68" s="83" t="inlineStr">
        <is>
          <t>6 · Chinh phục dạng</t>
        </is>
      </c>
      <c r="B68" s="84" t="inlineStr">
        <is>
          <t>Khai Phá</t>
        </is>
      </c>
      <c r="C68" s="85" t="inlineStr">
        <is>
          <t>★2</t>
        </is>
      </c>
      <c r="D68" s="86" t="inlineStr">
        <is>
          <t>KP-2</t>
        </is>
      </c>
      <c r="E68" s="86" t="inlineStr">
        <is>
          <t>Số dạng đã luyện ≥ 5 câu ≥ 30 dạng</t>
        </is>
      </c>
      <c r="F68" s="87">
        <f>COUNTIF('Ma trận'!S$5:S$141,C68)</f>
        <v/>
      </c>
      <c r="G68" s="87" t="inlineStr">
        <is>
          <t>—</t>
        </is>
      </c>
      <c r="H68" s="87" t="n">
        <v>0</v>
      </c>
    </row>
    <row r="69">
      <c r="A69" s="83" t="inlineStr">
        <is>
          <t>6 · Chinh phục dạng</t>
        </is>
      </c>
      <c r="B69" s="84" t="inlineStr">
        <is>
          <t>Khai Phá</t>
        </is>
      </c>
      <c r="C69" s="85" t="inlineStr">
        <is>
          <t>★3</t>
        </is>
      </c>
      <c r="D69" s="86" t="inlineStr">
        <is>
          <t>KP-3</t>
        </is>
      </c>
      <c r="E69" s="86" t="inlineStr">
        <is>
          <t>Số dạng đã luyện ≥ 5 câu ≥ 60 dạng</t>
        </is>
      </c>
      <c r="F69" s="87">
        <f>COUNTIF('Ma trận'!S$5:S$141,C69)</f>
        <v/>
      </c>
      <c r="G69" s="87" t="inlineStr">
        <is>
          <t>—</t>
        </is>
      </c>
      <c r="H69" s="87" t="n">
        <v>100</v>
      </c>
    </row>
    <row r="70">
      <c r="A70" s="83" t="inlineStr">
        <is>
          <t>6 · Chinh phục dạng</t>
        </is>
      </c>
      <c r="B70" s="84" t="inlineStr">
        <is>
          <t>Khai Phá</t>
        </is>
      </c>
      <c r="C70" s="88" t="inlineStr">
        <is>
          <t>★4</t>
        </is>
      </c>
      <c r="D70" s="86" t="inlineStr">
        <is>
          <t>KP-4 + A3·1T</t>
        </is>
      </c>
      <c r="E70" s="86" t="inlineStr">
        <is>
          <t>Số dạng đã luyện ≥ 5 câu ≥ 90 dạng · VÀ trong 1 tháng: Tự luyện ≥ 100 câu đúng</t>
        </is>
      </c>
      <c r="F70" s="87">
        <f>COUNTIF('Ma trận'!S$5:S$141,C70)</f>
        <v/>
      </c>
      <c r="G70" s="87" t="inlineStr">
        <is>
          <t>Có (GV trao)</t>
        </is>
      </c>
      <c r="H70" s="87" t="n">
        <v>200</v>
      </c>
    </row>
    <row r="71">
      <c r="A71" s="83" t="inlineStr">
        <is>
          <t>6 · Chinh phục dạng</t>
        </is>
      </c>
      <c r="B71" s="84" t="inlineStr">
        <is>
          <t>Khai Phá</t>
        </is>
      </c>
      <c r="C71" s="88" t="inlineStr">
        <is>
          <t>★5</t>
        </is>
      </c>
      <c r="D71" s="86" t="inlineStr">
        <is>
          <t>KP-5 + A4·3T + A6·3T</t>
        </is>
      </c>
      <c r="E71" s="86" t="inlineStr">
        <is>
          <t>Số dạng đã luyện ≥ 5 câu ≥ 130 dạng · VÀ 3 tháng liên tiếp: Tự luyện ≥ 200 câu đúng · Pass Thử thách ≥ 15 ngày</t>
        </is>
      </c>
      <c r="F71" s="87">
        <f>COUNTIF('Ma trận'!S$5:S$141,C71)</f>
        <v/>
      </c>
      <c r="G71" s="87" t="inlineStr">
        <is>
          <t>Có (GV trao)</t>
        </is>
      </c>
      <c r="H71" s="87" t="n">
        <v>300</v>
      </c>
    </row>
    <row r="72">
      <c r="A72" s="83" t="inlineStr">
        <is>
          <t>6 · Chinh phục dạng</t>
        </is>
      </c>
      <c r="B72" s="84" t="inlineStr">
        <is>
          <t>Kho Dạng</t>
        </is>
      </c>
      <c r="C72" s="85" t="inlineStr">
        <is>
          <t>★1</t>
        </is>
      </c>
      <c r="D72" s="86" t="inlineStr">
        <is>
          <t>KD-1</t>
        </is>
      </c>
      <c r="E72" s="86" t="inlineStr">
        <is>
          <t>Số dạng đạt ≥ 5 dạng</t>
        </is>
      </c>
      <c r="F72" s="87">
        <f>COUNTIF('Ma trận'!T$5:T$141,C72)</f>
        <v/>
      </c>
      <c r="G72" s="87" t="inlineStr">
        <is>
          <t>—</t>
        </is>
      </c>
      <c r="H72" s="87" t="n">
        <v>0</v>
      </c>
    </row>
    <row r="73">
      <c r="A73" s="83" t="inlineStr">
        <is>
          <t>6 · Chinh phục dạng</t>
        </is>
      </c>
      <c r="B73" s="84" t="inlineStr">
        <is>
          <t>Kho Dạng</t>
        </is>
      </c>
      <c r="C73" s="85" t="inlineStr">
        <is>
          <t>★2</t>
        </is>
      </c>
      <c r="D73" s="86" t="inlineStr">
        <is>
          <t>KD-2</t>
        </is>
      </c>
      <c r="E73" s="86" t="inlineStr">
        <is>
          <t>Số dạng đạt ≥ 20 dạng</t>
        </is>
      </c>
      <c r="F73" s="87">
        <f>COUNTIF('Ma trận'!T$5:T$141,C73)</f>
        <v/>
      </c>
      <c r="G73" s="87" t="inlineStr">
        <is>
          <t>—</t>
        </is>
      </c>
      <c r="H73" s="87" t="n">
        <v>0</v>
      </c>
    </row>
    <row r="74">
      <c r="A74" s="83" t="inlineStr">
        <is>
          <t>6 · Chinh phục dạng</t>
        </is>
      </c>
      <c r="B74" s="84" t="inlineStr">
        <is>
          <t>Kho Dạng</t>
        </is>
      </c>
      <c r="C74" s="85" t="inlineStr">
        <is>
          <t>★3</t>
        </is>
      </c>
      <c r="D74" s="86" t="inlineStr">
        <is>
          <t>KD-3</t>
        </is>
      </c>
      <c r="E74" s="86" t="inlineStr">
        <is>
          <t>Số dạng đạt ≥ 50 dạng</t>
        </is>
      </c>
      <c r="F74" s="87">
        <f>COUNTIF('Ma trận'!T$5:T$141,C74)</f>
        <v/>
      </c>
      <c r="G74" s="87" t="inlineStr">
        <is>
          <t>—</t>
        </is>
      </c>
      <c r="H74" s="87" t="n">
        <v>100</v>
      </c>
    </row>
    <row r="75">
      <c r="A75" s="83" t="inlineStr">
        <is>
          <t>6 · Chinh phục dạng</t>
        </is>
      </c>
      <c r="B75" s="84" t="inlineStr">
        <is>
          <t>Kho Dạng</t>
        </is>
      </c>
      <c r="C75" s="88" t="inlineStr">
        <is>
          <t>★4</t>
        </is>
      </c>
      <c r="D75" s="86" t="inlineStr">
        <is>
          <t>KD-4 + B6·1T</t>
        </is>
      </c>
      <c r="E75" s="86" t="inlineStr">
        <is>
          <t>Số dạng đạt ≥ 75 dạng · VÀ trong 1 tháng: ≥ 5 lượt Thử thách 10/10</t>
        </is>
      </c>
      <c r="F75" s="87">
        <f>COUNTIF('Ma trận'!T$5:T$141,C75)</f>
        <v/>
      </c>
      <c r="G75" s="87" t="inlineStr">
        <is>
          <t>Có (GV trao)</t>
        </is>
      </c>
      <c r="H75" s="87" t="n">
        <v>200</v>
      </c>
    </row>
    <row r="76">
      <c r="A76" s="83" t="inlineStr">
        <is>
          <t>6 · Chinh phục dạng</t>
        </is>
      </c>
      <c r="B76" s="84" t="inlineStr">
        <is>
          <t>Kho Dạng</t>
        </is>
      </c>
      <c r="C76" s="88" t="inlineStr">
        <is>
          <t>★5</t>
        </is>
      </c>
      <c r="D76" s="86" t="inlineStr">
        <is>
          <t>KD-5 + B2·3T + B6·3T</t>
        </is>
      </c>
      <c r="E76" s="86" t="inlineStr">
        <is>
          <t>Số dạng đạt ≥ 100 dạng · VÀ 3 tháng liên tiếp: MT top 30% khối · ≥ 5 lượt Thử thách 10/10</t>
        </is>
      </c>
      <c r="F76" s="87">
        <f>COUNTIF('Ma trận'!T$5:T$141,C76)</f>
        <v/>
      </c>
      <c r="G76" s="87" t="inlineStr">
        <is>
          <t>Có (GV trao)</t>
        </is>
      </c>
      <c r="H76" s="87" t="n">
        <v>300</v>
      </c>
    </row>
    <row r="77">
      <c r="A77" s="83" t="inlineStr">
        <is>
          <t>6 · Chinh phục dạng</t>
        </is>
      </c>
      <c r="B77" s="84" t="inlineStr">
        <is>
          <t>Lấp Lỗ</t>
        </is>
      </c>
      <c r="C77" s="85" t="inlineStr">
        <is>
          <t>★1</t>
        </is>
      </c>
      <c r="D77" s="86" t="inlineStr">
        <is>
          <t>LL-1</t>
        </is>
      </c>
      <c r="E77" s="86" t="inlineStr">
        <is>
          <t>Số dạng từ yếu → đạt ≥ 1 dạng</t>
        </is>
      </c>
      <c r="F77" s="87">
        <f>COUNTIF('Ma trận'!U$5:U$141,C77)</f>
        <v/>
      </c>
      <c r="G77" s="87" t="inlineStr">
        <is>
          <t>—</t>
        </is>
      </c>
      <c r="H77" s="87" t="n">
        <v>0</v>
      </c>
    </row>
    <row r="78">
      <c r="A78" s="83" t="inlineStr">
        <is>
          <t>6 · Chinh phục dạng</t>
        </is>
      </c>
      <c r="B78" s="84" t="inlineStr">
        <is>
          <t>Lấp Lỗ</t>
        </is>
      </c>
      <c r="C78" s="85" t="inlineStr">
        <is>
          <t>★2</t>
        </is>
      </c>
      <c r="D78" s="86" t="inlineStr">
        <is>
          <t>LL-2</t>
        </is>
      </c>
      <c r="E78" s="86" t="inlineStr">
        <is>
          <t>Số dạng từ yếu → đạt ≥ 5 dạng</t>
        </is>
      </c>
      <c r="F78" s="87">
        <f>COUNTIF('Ma trận'!U$5:U$141,C78)</f>
        <v/>
      </c>
      <c r="G78" s="87" t="inlineStr">
        <is>
          <t>—</t>
        </is>
      </c>
      <c r="H78" s="87" t="n">
        <v>0</v>
      </c>
    </row>
    <row r="79">
      <c r="A79" s="83" t="inlineStr">
        <is>
          <t>6 · Chinh phục dạng</t>
        </is>
      </c>
      <c r="B79" s="84" t="inlineStr">
        <is>
          <t>Lấp Lỗ</t>
        </is>
      </c>
      <c r="C79" s="85" t="inlineStr">
        <is>
          <t>★3</t>
        </is>
      </c>
      <c r="D79" s="86" t="inlineStr">
        <is>
          <t>LL-3</t>
        </is>
      </c>
      <c r="E79" s="86" t="inlineStr">
        <is>
          <t>Số dạng từ yếu → đạt ≥ 15 dạng</t>
        </is>
      </c>
      <c r="F79" s="87">
        <f>COUNTIF('Ma trận'!U$5:U$141,C79)</f>
        <v/>
      </c>
      <c r="G79" s="87" t="inlineStr">
        <is>
          <t>—</t>
        </is>
      </c>
      <c r="H79" s="87" t="n">
        <v>100</v>
      </c>
    </row>
    <row r="80">
      <c r="A80" s="83" t="inlineStr">
        <is>
          <t>6 · Chinh phục dạng</t>
        </is>
      </c>
      <c r="B80" s="84" t="inlineStr">
        <is>
          <t>Lấp Lỗ</t>
        </is>
      </c>
      <c r="C80" s="88" t="inlineStr">
        <is>
          <t>★4</t>
        </is>
      </c>
      <c r="D80" s="86" t="inlineStr">
        <is>
          <t>LL-4 + A2·1T</t>
        </is>
      </c>
      <c r="E80" s="86" t="inlineStr">
        <is>
          <t>Số dạng từ yếu → đạt ≥ 25 dạng · VÀ trong 1 tháng: Nộp đủ, đúng hạn mọi BTVN</t>
        </is>
      </c>
      <c r="F80" s="87">
        <f>COUNTIF('Ma trận'!U$5:U$141,C80)</f>
        <v/>
      </c>
      <c r="G80" s="87" t="inlineStr">
        <is>
          <t>Có (GV trao)</t>
        </is>
      </c>
      <c r="H80" s="87" t="n">
        <v>200</v>
      </c>
    </row>
    <row r="81">
      <c r="A81" s="83" t="inlineStr">
        <is>
          <t>6 · Chinh phục dạng</t>
        </is>
      </c>
      <c r="B81" s="84" t="inlineStr">
        <is>
          <t>Lấp Lỗ</t>
        </is>
      </c>
      <c r="C81" s="88" t="inlineStr">
        <is>
          <t>★5</t>
        </is>
      </c>
      <c r="D81" s="86" t="inlineStr">
        <is>
          <t>LL-5 + A2·3T + A6·3T</t>
        </is>
      </c>
      <c r="E81" s="86" t="inlineStr">
        <is>
          <t>Số dạng từ yếu → đạt ≥ 40 dạng · VÀ 3 tháng liên tiếp: Nộp đủ, đúng hạn mọi BTVN · Pass Thử thách ≥ 15 ngày</t>
        </is>
      </c>
      <c r="F81" s="87">
        <f>COUNTIF('Ma trận'!U$5:U$141,C81)</f>
        <v/>
      </c>
      <c r="G81" s="87" t="inlineStr">
        <is>
          <t>Có (GV trao)</t>
        </is>
      </c>
      <c r="H81" s="87" t="n">
        <v>300</v>
      </c>
    </row>
    <row r="82">
      <c r="A82" s="89" t="inlineStr">
        <is>
          <t>7 · Rank</t>
        </is>
      </c>
      <c r="B82" s="90" t="inlineStr">
        <is>
          <t>Leo Rank</t>
        </is>
      </c>
      <c r="C82" s="91" t="inlineStr">
        <is>
          <t>★1</t>
        </is>
      </c>
      <c r="D82" s="92" t="inlineStr">
        <is>
          <t>LR-1</t>
        </is>
      </c>
      <c r="E82" s="92" t="inlineStr">
        <is>
          <t>Bậc rank cao nhất trong năm ≥ Captain</t>
        </is>
      </c>
      <c r="F82" s="93">
        <f>COUNTIF('Ma trận'!V$5:V$141,C82)</f>
        <v/>
      </c>
      <c r="G82" s="93" t="inlineStr">
        <is>
          <t>—</t>
        </is>
      </c>
      <c r="H82" s="93" t="n">
        <v>0</v>
      </c>
    </row>
    <row r="83">
      <c r="A83" s="89" t="inlineStr">
        <is>
          <t>7 · Rank</t>
        </is>
      </c>
      <c r="B83" s="90" t="inlineStr">
        <is>
          <t>Leo Rank</t>
        </is>
      </c>
      <c r="C83" s="91" t="inlineStr">
        <is>
          <t>★2</t>
        </is>
      </c>
      <c r="D83" s="92" t="inlineStr">
        <is>
          <t>LR-2</t>
        </is>
      </c>
      <c r="E83" s="92" t="inlineStr">
        <is>
          <t>Bậc rank cao nhất trong năm ≥ Hero</t>
        </is>
      </c>
      <c r="F83" s="93">
        <f>COUNTIF('Ma trận'!V$5:V$141,C83)</f>
        <v/>
      </c>
      <c r="G83" s="93" t="inlineStr">
        <is>
          <t>—</t>
        </is>
      </c>
      <c r="H83" s="93" t="n">
        <v>0</v>
      </c>
    </row>
    <row r="84">
      <c r="A84" s="89" t="inlineStr">
        <is>
          <t>7 · Rank</t>
        </is>
      </c>
      <c r="B84" s="90" t="inlineStr">
        <is>
          <t>Leo Rank</t>
        </is>
      </c>
      <c r="C84" s="91" t="inlineStr">
        <is>
          <t>★3</t>
        </is>
      </c>
      <c r="D84" s="92" t="inlineStr">
        <is>
          <t>LR-3</t>
        </is>
      </c>
      <c r="E84" s="92" t="inlineStr">
        <is>
          <t>Bậc rank cao nhất trong năm ≥ King</t>
        </is>
      </c>
      <c r="F84" s="93">
        <f>COUNTIF('Ma trận'!V$5:V$141,C84)</f>
        <v/>
      </c>
      <c r="G84" s="93" t="inlineStr">
        <is>
          <t>—</t>
        </is>
      </c>
      <c r="H84" s="93" t="n">
        <v>100</v>
      </c>
    </row>
    <row r="85">
      <c r="A85" s="89" t="inlineStr">
        <is>
          <t>7 · Rank</t>
        </is>
      </c>
      <c r="B85" s="90" t="inlineStr">
        <is>
          <t>Leo Rank</t>
        </is>
      </c>
      <c r="C85" s="94" t="inlineStr">
        <is>
          <t>★4</t>
        </is>
      </c>
      <c r="D85" s="92" t="inlineStr">
        <is>
          <t>LR-4</t>
        </is>
      </c>
      <c r="E85" s="92" t="inlineStr">
        <is>
          <t>Bậc rank cao nhất trong năm ≥ Emperor</t>
        </is>
      </c>
      <c r="F85" s="93">
        <f>COUNTIF('Ma trận'!V$5:V$141,C85)</f>
        <v/>
      </c>
      <c r="G85" s="93" t="inlineStr">
        <is>
          <t>Có (GV trao)</t>
        </is>
      </c>
      <c r="H85" s="93" t="n">
        <v>200</v>
      </c>
    </row>
    <row r="86">
      <c r="A86" s="89" t="inlineStr">
        <is>
          <t>7 · Rank</t>
        </is>
      </c>
      <c r="B86" s="90" t="inlineStr">
        <is>
          <t>Leo Rank</t>
        </is>
      </c>
      <c r="C86" s="94" t="inlineStr">
        <is>
          <t>★5</t>
        </is>
      </c>
      <c r="D86" s="92" t="inlineStr">
        <is>
          <t>LR-5</t>
        </is>
      </c>
      <c r="E86" s="92" t="inlineStr">
        <is>
          <t>Bậc rank cao nhất trong năm ≥ God of War</t>
        </is>
      </c>
      <c r="F86" s="93">
        <f>COUNTIF('Ma trận'!V$5:V$141,C86)</f>
        <v/>
      </c>
      <c r="G86" s="93" t="inlineStr">
        <is>
          <t>Có (GV trao)</t>
        </is>
      </c>
      <c r="H86" s="93" t="n">
        <v>300</v>
      </c>
    </row>
    <row r="87">
      <c r="A87" s="89" t="inlineStr">
        <is>
          <t>7 · Rank</t>
        </is>
      </c>
      <c r="B87" s="90" t="inlineStr">
        <is>
          <t>Vượt Lên</t>
        </is>
      </c>
      <c r="C87" s="91" t="inlineStr">
        <is>
          <t>★1</t>
        </is>
      </c>
      <c r="D87" s="92" t="inlineStr">
        <is>
          <t>VL-1</t>
        </is>
      </c>
      <c r="E87" s="92" t="inlineStr">
        <is>
          <t>Số tháng tăng hạng bảng đua tháng (hoặc giữ top 10%) ≥ 1 tháng</t>
        </is>
      </c>
      <c r="F87" s="93">
        <f>COUNTIF('Ma trận'!W$5:W$141,C87)</f>
        <v/>
      </c>
      <c r="G87" s="93" t="inlineStr">
        <is>
          <t>—</t>
        </is>
      </c>
      <c r="H87" s="93" t="n">
        <v>0</v>
      </c>
    </row>
    <row r="88">
      <c r="A88" s="89" t="inlineStr">
        <is>
          <t>7 · Rank</t>
        </is>
      </c>
      <c r="B88" s="90" t="inlineStr">
        <is>
          <t>Vượt Lên</t>
        </is>
      </c>
      <c r="C88" s="91" t="inlineStr">
        <is>
          <t>★2</t>
        </is>
      </c>
      <c r="D88" s="92" t="inlineStr">
        <is>
          <t>VL-2</t>
        </is>
      </c>
      <c r="E88" s="92" t="inlineStr">
        <is>
          <t>Số tháng tăng hạng bảng đua tháng (hoặc giữ top 10%) ≥ 3 tháng</t>
        </is>
      </c>
      <c r="F88" s="93">
        <f>COUNTIF('Ma trận'!W$5:W$141,C88)</f>
        <v/>
      </c>
      <c r="G88" s="93" t="inlineStr">
        <is>
          <t>—</t>
        </is>
      </c>
      <c r="H88" s="93" t="n">
        <v>0</v>
      </c>
    </row>
    <row r="89">
      <c r="A89" s="89" t="inlineStr">
        <is>
          <t>7 · Rank</t>
        </is>
      </c>
      <c r="B89" s="90" t="inlineStr">
        <is>
          <t>Vượt Lên</t>
        </is>
      </c>
      <c r="C89" s="91" t="inlineStr">
        <is>
          <t>★3</t>
        </is>
      </c>
      <c r="D89" s="92" t="inlineStr">
        <is>
          <t>VL-3</t>
        </is>
      </c>
      <c r="E89" s="92" t="inlineStr">
        <is>
          <t>Số tháng tăng hạng bảng đua tháng (hoặc giữ top 10%) ≥ 6 tháng</t>
        </is>
      </c>
      <c r="F89" s="93">
        <f>COUNTIF('Ma trận'!W$5:W$141,C89)</f>
        <v/>
      </c>
      <c r="G89" s="93" t="inlineStr">
        <is>
          <t>—</t>
        </is>
      </c>
      <c r="H89" s="93" t="n">
        <v>100</v>
      </c>
    </row>
    <row r="90">
      <c r="A90" s="89" t="inlineStr">
        <is>
          <t>7 · Rank</t>
        </is>
      </c>
      <c r="B90" s="90" t="inlineStr">
        <is>
          <t>Vượt Lên</t>
        </is>
      </c>
      <c r="C90" s="94" t="inlineStr">
        <is>
          <t>★4</t>
        </is>
      </c>
      <c r="D90" s="92" t="inlineStr">
        <is>
          <t>VL-4 + C1·1T</t>
        </is>
      </c>
      <c r="E90" s="92" t="inlineStr">
        <is>
          <t>Số tháng tăng hạng bảng đua tháng (hoặc giữ top 10%) ≥ 8 tháng · VÀ trong 1 tháng: Hạng MT tăng so với tháng trước (hoặc giữ top 10%)</t>
        </is>
      </c>
      <c r="F90" s="93">
        <f>COUNTIF('Ma trận'!W$5:W$141,C90)</f>
        <v/>
      </c>
      <c r="G90" s="93" t="inlineStr">
        <is>
          <t>Có (GV trao)</t>
        </is>
      </c>
      <c r="H90" s="93" t="n">
        <v>200</v>
      </c>
    </row>
    <row r="91">
      <c r="A91" s="89" t="inlineStr">
        <is>
          <t>7 · Rank</t>
        </is>
      </c>
      <c r="B91" s="90" t="inlineStr">
        <is>
          <t>Vượt Lên</t>
        </is>
      </c>
      <c r="C91" s="94" t="inlineStr">
        <is>
          <t>★5</t>
        </is>
      </c>
      <c r="D91" s="92" t="inlineStr">
        <is>
          <t>VL-5 + C1·3T + C3·3T</t>
        </is>
      </c>
      <c r="E91" s="92" t="inlineStr">
        <is>
          <t>Số tháng tăng hạng bảng đua tháng (hoặc giữ top 10%) ≥ 10 tháng · VÀ 3 tháng liên tiếp: Hạng MT tăng so với tháng trước (hoặc giữ top 10%) · Lấp ≥ 1 lỗ (dạng yếu → đạt)</t>
        </is>
      </c>
      <c r="F91" s="93">
        <f>COUNTIF('Ma trận'!W$5:W$141,C91)</f>
        <v/>
      </c>
      <c r="G91" s="93" t="inlineStr">
        <is>
          <t>Có (GV trao)</t>
        </is>
      </c>
      <c r="H91" s="93" t="n">
        <v>300</v>
      </c>
    </row>
    <row r="92">
      <c r="A92" s="95" t="inlineStr">
        <is>
          <t>8 · Nhiệm vụ</t>
        </is>
      </c>
      <c r="B92" s="96" t="inlineStr">
        <is>
          <t>Về Đích</t>
        </is>
      </c>
      <c r="C92" s="97" t="inlineStr">
        <is>
          <t>★1</t>
        </is>
      </c>
      <c r="D92" s="98" t="inlineStr">
        <is>
          <t>VD-1</t>
        </is>
      </c>
      <c r="E92" s="98" t="inlineStr">
        <is>
          <t>Số tháng xong chặng nhiệm vụ 30 cấp ≥ 1 tháng</t>
        </is>
      </c>
      <c r="F92" s="99">
        <f>COUNTIF('Ma trận'!X$5:X$141,C92)</f>
        <v/>
      </c>
      <c r="G92" s="99" t="inlineStr">
        <is>
          <t>—</t>
        </is>
      </c>
      <c r="H92" s="99" t="n">
        <v>0</v>
      </c>
    </row>
    <row r="93">
      <c r="A93" s="95" t="inlineStr">
        <is>
          <t>8 · Nhiệm vụ</t>
        </is>
      </c>
      <c r="B93" s="96" t="inlineStr">
        <is>
          <t>Về Đích</t>
        </is>
      </c>
      <c r="C93" s="97" t="inlineStr">
        <is>
          <t>★2</t>
        </is>
      </c>
      <c r="D93" s="98" t="inlineStr">
        <is>
          <t>VD-2</t>
        </is>
      </c>
      <c r="E93" s="98" t="inlineStr">
        <is>
          <t>Số tháng xong chặng nhiệm vụ 30 cấp ≥ 3 tháng</t>
        </is>
      </c>
      <c r="F93" s="99">
        <f>COUNTIF('Ma trận'!X$5:X$141,C93)</f>
        <v/>
      </c>
      <c r="G93" s="99" t="inlineStr">
        <is>
          <t>—</t>
        </is>
      </c>
      <c r="H93" s="99" t="n">
        <v>0</v>
      </c>
    </row>
    <row r="94">
      <c r="A94" s="95" t="inlineStr">
        <is>
          <t>8 · Nhiệm vụ</t>
        </is>
      </c>
      <c r="B94" s="96" t="inlineStr">
        <is>
          <t>Về Đích</t>
        </is>
      </c>
      <c r="C94" s="97" t="inlineStr">
        <is>
          <t>★3</t>
        </is>
      </c>
      <c r="D94" s="98" t="inlineStr">
        <is>
          <t>VD-3</t>
        </is>
      </c>
      <c r="E94" s="98" t="inlineStr">
        <is>
          <t>Số tháng xong chặng nhiệm vụ 30 cấp ≥ 6 tháng</t>
        </is>
      </c>
      <c r="F94" s="99">
        <f>COUNTIF('Ma trận'!X$5:X$141,C94)</f>
        <v/>
      </c>
      <c r="G94" s="99" t="inlineStr">
        <is>
          <t>—</t>
        </is>
      </c>
      <c r="H94" s="99" t="n">
        <v>100</v>
      </c>
    </row>
    <row r="95">
      <c r="A95" s="95" t="inlineStr">
        <is>
          <t>8 · Nhiệm vụ</t>
        </is>
      </c>
      <c r="B95" s="96" t="inlineStr">
        <is>
          <t>Về Đích</t>
        </is>
      </c>
      <c r="C95" s="100" t="inlineStr">
        <is>
          <t>★4</t>
        </is>
      </c>
      <c r="D95" s="98" t="inlineStr">
        <is>
          <t>VD-4 + A1·1T</t>
        </is>
      </c>
      <c r="E95" s="98" t="inlineStr">
        <is>
          <t>Số tháng xong chặng nhiệm vụ 30 cấp ≥ 9 tháng · VÀ trong 1 tháng: Đi học đủ mọi buổi (vắng thì đã học bù)</t>
        </is>
      </c>
      <c r="F95" s="99">
        <f>COUNTIF('Ma trận'!X$5:X$141,C95)</f>
        <v/>
      </c>
      <c r="G95" s="99" t="inlineStr">
        <is>
          <t>Có (GV trao)</t>
        </is>
      </c>
      <c r="H95" s="99" t="n">
        <v>200</v>
      </c>
    </row>
    <row r="96">
      <c r="A96" s="95" t="inlineStr">
        <is>
          <t>8 · Nhiệm vụ</t>
        </is>
      </c>
      <c r="B96" s="96" t="inlineStr">
        <is>
          <t>Về Đích</t>
        </is>
      </c>
      <c r="C96" s="100" t="inlineStr">
        <is>
          <t>★5</t>
        </is>
      </c>
      <c r="D96" s="98" t="inlineStr">
        <is>
          <t>VD-5 + A1·3T + A2·3T</t>
        </is>
      </c>
      <c r="E96" s="98" t="inlineStr">
        <is>
          <t>Số tháng xong chặng nhiệm vụ 30 cấp ≥ 12 tháng · VÀ 3 tháng liên tiếp: Đi học đủ mọi buổi (vắng thì đã học bù) · Nộp đủ, đúng hạn mọi BTVN</t>
        </is>
      </c>
      <c r="F96" s="99">
        <f>COUNTIF('Ma trận'!X$5:X$141,C96)</f>
        <v/>
      </c>
      <c r="G96" s="99" t="inlineStr">
        <is>
          <t>Có (GV trao)</t>
        </is>
      </c>
      <c r="H96" s="99" t="n">
        <v>300</v>
      </c>
    </row>
    <row r="97">
      <c r="A97" s="101" t="inlineStr">
        <is>
          <t>9 · Tập thể lớp</t>
        </is>
      </c>
      <c r="B97" s="102" t="inlineStr">
        <is>
          <t>Lớp Vô Địch</t>
        </is>
      </c>
      <c r="C97" s="103" t="inlineStr">
        <is>
          <t>★1</t>
        </is>
      </c>
      <c r="D97" s="104" t="inlineStr">
        <is>
          <t>LVD-1</t>
        </is>
      </c>
      <c r="E97" s="104" t="inlineStr">
        <is>
          <t>Số tháng lớp thắng đua lớp (cả lớp cùng nhận) ≥ 1 tháng</t>
        </is>
      </c>
      <c r="F97" s="105">
        <f>COUNTIF('Ma trận'!Y$5:Y$141,C97)</f>
        <v/>
      </c>
      <c r="G97" s="105" t="inlineStr">
        <is>
          <t>—</t>
        </is>
      </c>
      <c r="H97" s="105" t="n">
        <v>0</v>
      </c>
    </row>
    <row r="98">
      <c r="A98" s="101" t="inlineStr">
        <is>
          <t>9 · Tập thể lớp</t>
        </is>
      </c>
      <c r="B98" s="102" t="inlineStr">
        <is>
          <t>Lớp Vô Địch</t>
        </is>
      </c>
      <c r="C98" s="103" t="inlineStr">
        <is>
          <t>★2</t>
        </is>
      </c>
      <c r="D98" s="104" t="inlineStr">
        <is>
          <t>LVD-2</t>
        </is>
      </c>
      <c r="E98" s="104" t="inlineStr">
        <is>
          <t>Số tháng lớp thắng đua lớp (cả lớp cùng nhận) ≥ 3 tháng</t>
        </is>
      </c>
      <c r="F98" s="105">
        <f>COUNTIF('Ma trận'!Y$5:Y$141,C98)</f>
        <v/>
      </c>
      <c r="G98" s="105" t="inlineStr">
        <is>
          <t>—</t>
        </is>
      </c>
      <c r="H98" s="105" t="n">
        <v>0</v>
      </c>
    </row>
    <row r="99">
      <c r="A99" s="101" t="inlineStr">
        <is>
          <t>9 · Tập thể lớp</t>
        </is>
      </c>
      <c r="B99" s="102" t="inlineStr">
        <is>
          <t>Lớp Vô Địch</t>
        </is>
      </c>
      <c r="C99" s="103" t="inlineStr">
        <is>
          <t>★3</t>
        </is>
      </c>
      <c r="D99" s="104" t="inlineStr">
        <is>
          <t>LVD-3</t>
        </is>
      </c>
      <c r="E99" s="104" t="inlineStr">
        <is>
          <t>Số tháng lớp thắng đua lớp (cả lớp cùng nhận) ≥ 6 tháng</t>
        </is>
      </c>
      <c r="F99" s="105">
        <f>COUNTIF('Ma trận'!Y$5:Y$141,C99)</f>
        <v/>
      </c>
      <c r="G99" s="105" t="inlineStr">
        <is>
          <t>—</t>
        </is>
      </c>
      <c r="H99" s="105" t="n">
        <v>100</v>
      </c>
    </row>
    <row r="100">
      <c r="A100" s="101" t="inlineStr">
        <is>
          <t>9 · Tập thể lớp</t>
        </is>
      </c>
      <c r="B100" s="102" t="inlineStr">
        <is>
          <t>Lớp Vô Địch</t>
        </is>
      </c>
      <c r="C100" s="106" t="inlineStr">
        <is>
          <t>★4</t>
        </is>
      </c>
      <c r="D100" s="104" t="inlineStr">
        <is>
          <t>LVD-4</t>
        </is>
      </c>
      <c r="E100" s="104" t="inlineStr">
        <is>
          <t>Số tháng lớp thắng đua lớp (cả lớp cùng nhận) ≥ 9 tháng</t>
        </is>
      </c>
      <c r="F100" s="105">
        <f>COUNTIF('Ma trận'!Y$5:Y$141,C100)</f>
        <v/>
      </c>
      <c r="G100" s="105" t="inlineStr">
        <is>
          <t>Có (GV trao)</t>
        </is>
      </c>
      <c r="H100" s="105" t="n">
        <v>200</v>
      </c>
    </row>
    <row r="101">
      <c r="A101" s="101" t="inlineStr">
        <is>
          <t>9 · Tập thể lớp</t>
        </is>
      </c>
      <c r="B101" s="102" t="inlineStr">
        <is>
          <t>Lớp Vô Địch</t>
        </is>
      </c>
      <c r="C101" s="106" t="inlineStr">
        <is>
          <t>★5</t>
        </is>
      </c>
      <c r="D101" s="104" t="inlineStr">
        <is>
          <t>LVD-5</t>
        </is>
      </c>
      <c r="E101" s="104" t="inlineStr">
        <is>
          <t>Số tháng lớp thắng đua lớp (cả lớp cùng nhận) ≥ 12 tháng</t>
        </is>
      </c>
      <c r="F101" s="105">
        <f>COUNTIF('Ma trận'!Y$5:Y$141,C101)</f>
        <v/>
      </c>
      <c r="G101" s="105" t="inlineStr">
        <is>
          <t>Có (GV trao)</t>
        </is>
      </c>
      <c r="H101" s="105" t="n">
        <v>300</v>
      </c>
    </row>
    <row r="102">
      <c r="A102" s="107" t="inlineStr">
        <is>
          <t>10 · Bí ẩn &amp; Kỷ niệm</t>
        </is>
      </c>
      <c r="B102" s="108" t="inlineStr">
        <is>
          <t>Thám Tử Đề</t>
        </is>
      </c>
      <c r="C102" s="109" t="inlineStr">
        <is>
          <t>★</t>
        </is>
      </c>
      <c r="D102" s="110" t="inlineStr">
        <is>
          <t>TTD-1</t>
        </is>
      </c>
      <c r="E102" s="110" t="inlineStr">
        <is>
          <t>Báo sai đề, được xác nhận đúng</t>
        </is>
      </c>
      <c r="F102" s="111">
        <f>COUNTIF('Ma trận'!Z$5:Z$141,C102)</f>
        <v/>
      </c>
      <c r="G102" s="111" t="inlineStr">
        <is>
          <t>—</t>
        </is>
      </c>
      <c r="H102" s="111" t="n">
        <v>0</v>
      </c>
    </row>
    <row r="103">
      <c r="A103" s="107" t="inlineStr">
        <is>
          <t>10 · Bí ẩn &amp; Kỷ niệm</t>
        </is>
      </c>
      <c r="B103" s="108" t="inlineStr">
        <is>
          <t>Thần May Mắn</t>
        </is>
      </c>
      <c r="C103" s="109" t="inlineStr">
        <is>
          <t>★</t>
        </is>
      </c>
      <c r="D103" s="110" t="inlineStr">
        <is>
          <t>TMM-1</t>
        </is>
      </c>
      <c r="E103" s="110" t="inlineStr">
        <is>
          <t>Trúng trà sữa ở game buổi</t>
        </is>
      </c>
      <c r="F103" s="111">
        <f>COUNTIF('Ma trận'!AA$5:AA$141,C103)</f>
        <v/>
      </c>
      <c r="G103" s="111" t="inlineStr">
        <is>
          <t>—</t>
        </is>
      </c>
      <c r="H103" s="111" t="n">
        <v>0</v>
      </c>
    </row>
    <row r="104">
      <c r="A104" s="107" t="inlineStr">
        <is>
          <t>10 · Bí ẩn &amp; Kỷ niệm</t>
        </is>
      </c>
      <c r="B104" s="108" t="inlineStr">
        <is>
          <t>Lội Ngược Dòng</t>
        </is>
      </c>
      <c r="C104" s="109" t="inlineStr">
        <is>
          <t>★</t>
        </is>
      </c>
      <c r="D104" s="110" t="inlineStr">
        <is>
          <t>LND-1</t>
        </is>
      </c>
      <c r="E104" s="110" t="inlineStr">
        <is>
          <t>Từ nửa dưới lớp lên Nhất buổi trong 4 buổi</t>
        </is>
      </c>
      <c r="F104" s="111">
        <f>COUNTIF('Ma trận'!AB$5:AB$141,C104)</f>
        <v/>
      </c>
      <c r="G104" s="111" t="inlineStr">
        <is>
          <t>—</t>
        </is>
      </c>
      <c r="H104" s="111" t="n">
        <v>0</v>
      </c>
    </row>
    <row r="105">
      <c r="A105" s="107" t="inlineStr">
        <is>
          <t>10 · Bí ẩn &amp; Kỷ niệm</t>
        </is>
      </c>
      <c r="B105" s="108" t="inlineStr">
        <is>
          <t>Chạm Đáy Bật Lên</t>
        </is>
      </c>
      <c r="C105" s="109" t="inlineStr">
        <is>
          <t>★</t>
        </is>
      </c>
      <c r="D105" s="110" t="inlineStr">
        <is>
          <t>CDBL-1</t>
        </is>
      </c>
      <c r="E105" s="110" t="inlineStr">
        <is>
          <t>Tháng trước không lên sao nào ở Khá Lên / Vững Bước / Bứt Phá / Lên Tầm / Lấp Lỗ / Vượt Lên, tháng này lên ≥ 1 sao</t>
        </is>
      </c>
      <c r="F105" s="111">
        <f>COUNTIF('Ma trận'!AC$5:AC$141,C105)</f>
        <v/>
      </c>
      <c r="G105" s="111" t="inlineStr">
        <is>
          <t>—</t>
        </is>
      </c>
      <c r="H105" s="111" t="n">
        <v>0</v>
      </c>
    </row>
    <row r="107">
      <c r="B107" s="51" t="inlineStr">
        <is>
          <t>Tổng cấp huy hiệu</t>
        </is>
      </c>
      <c r="C107" s="51">
        <f>COUNTA(C2:C105)</f>
        <v/>
      </c>
    </row>
    <row r="108">
      <c r="B108" s="51" t="inlineStr">
        <is>
          <t>Cấp có bản cứng</t>
        </is>
      </c>
      <c r="C108" s="51">
        <f>COUNTIF(G2:G105,"Có (GV trao)")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12" t="inlineStr">
        <is>
          <t>MA TRẬN THÀNH TỰU × HUY HIỆU — môn TOÁN · nháp 3 · CTO 28/09/2026</t>
        </is>
      </c>
    </row>
    <row r="2">
      <c r="A2" s="113" t="inlineStr"/>
    </row>
    <row r="3">
      <c r="A3" s="114" t="inlineStr">
        <is>
          <t>Cách đọc</t>
        </is>
      </c>
    </row>
    <row r="4">
      <c r="A4" s="113" t="inlineStr">
        <is>
          <t>• Hàng = THÀNH TỰU: 1 điều kiện đo được trên dữ liệu thật (chỉ số + ngưỡng + kỳ xét).</t>
        </is>
      </c>
    </row>
    <row r="5">
      <c r="A5" s="113" t="inlineStr">
        <is>
          <t>• Cột = HUY HIỆU (10 loại, 24 huy hiệu). Ô ghi SAO nào của huy hiệu dùng thành tựu đó.</t>
        </is>
      </c>
    </row>
    <row r="6">
      <c r="A6" s="113" t="inlineStr">
        <is>
          <t>• Một cấp sao đạt khi đạt TẤT CẢ thành tựu mang nhãn sao đó trong cột. Liên kết N–N: 1 thành tựu nuôi nhiều huy hiệu (cột E), 1 huy hiệu dùng nhiều thành tựu.</t>
        </is>
      </c>
    </row>
    <row r="7">
      <c r="A7" s="113" t="inlineStr">
        <is>
          <t>• ★1–★3 = điều kiện đơn (bản mềm). ★4–★5 = nhiều điều kiện (bản mềm + bản cứng GV trao) — ô nền vàng chữ đỏ.</t>
        </is>
      </c>
    </row>
    <row r="8">
      <c r="A8" s="113" t="inlineStr"/>
    </row>
    <row r="9">
      <c r="A9" s="114" t="inlineStr">
        <is>
          <t>Cách sửa</t>
        </is>
      </c>
    </row>
    <row r="10">
      <c r="A10" s="113" t="inlineStr">
        <is>
          <t>• Đổi điều kiện của 1 cấp: gõ / xoá nhãn ★n trong ô của cột huy hiệu đó (sheet Huy hiệu tự đếm lại cột 'Số điều kiện').</t>
        </is>
      </c>
    </row>
    <row r="11">
      <c r="A11" s="113" t="inlineStr">
        <is>
          <t>• Đổi ngưỡng: sửa chữ ở cột B của thành tựu tương ứng.</t>
        </is>
      </c>
    </row>
    <row r="12">
      <c r="A12" s="113" t="inlineStr">
        <is>
          <t>• Ví dụ: muốn Không Nghỉ ★5 thêm điều kiện 'MT top 30%' ⇒ gõ ★5 vào ô hàng B2·3T (nếu chưa có hàng thì thêm hàng) × cột Không Nghỉ.</t>
        </is>
      </c>
    </row>
    <row r="13">
      <c r="A13" s="113" t="inlineStr"/>
    </row>
    <row r="14">
      <c r="A14" s="114" t="inlineStr">
        <is>
          <t>Giả định chưa chốt</t>
        </is>
      </c>
    </row>
    <row r="15">
      <c r="A15" s="113" t="inlineStr">
        <is>
          <t>• H7: ★4 = trong tháng vượt ngưỡng chính phải đạt đủ thành tựu phụ '·1T'. ★5 = các thành tựu phụ '·3T' đạt CÙNG 1 cửa sổ 3 tháng liên tiếp.</t>
        </is>
      </c>
    </row>
    <row r="16">
      <c r="A16" s="113" t="inlineStr">
        <is>
          <t>• H8: đạt lại ⇒ bản mềm ghi ×2, ×3; bản cứng chỉ trao lần đầu.</t>
        </is>
      </c>
    </row>
    <row r="17">
      <c r="A17" s="113" t="inlineStr">
        <is>
          <t>• Mọi ngưỡng là NHÁP, dựa số đo DB 28/09: Toán mỗi em/tháng ~5–6 buổi · ~5 ET · ~5 BTVN · 1 MT. Sẽ mô phỏng số bản cứng/tháng trước khi chốt.</t>
        </is>
      </c>
    </row>
    <row r="18">
      <c r="A18" s="113" t="inlineStr">
        <is>
          <t>• EXP thưởng (thứ yếu, trần 5 xu/tháng/môn): ★3 = 100 · ★4 = 200 · ★5 = 300 EXP.</t>
        </is>
      </c>
    </row>
    <row r="19">
      <c r="A19" s="113" t="inlineStr">
        <is>
          <t>• Bản cứng: đề xuất 1 phôi / loại (loại 1–9), ★4 / ★5 phân biệt bằng tấm sao gắn thêm hoặc màu viền.</t>
        </is>
      </c>
    </row>
    <row r="20">
      <c r="A20" s="113" t="inlineStr"/>
    </row>
    <row r="21">
      <c r="A21" s="113" t="inlineStr">
        <is>
          <t>Nguồn: spec-thanh-tuu-nhiem-vu.md (A5) · de-xuat-huy-hieu.md · số đo DB chỉ đọc 28/09/2026.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2026-09-28T07:15:27Z</dcterms:created>
  <dcterms:modified xsi:type="dcterms:W3CDTF">2026-09-28T07:15:27Z</dcterms:modified>
</cp:coreProperties>
</file>